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ER\Downloads\"/>
    </mc:Choice>
  </mc:AlternateContent>
  <xr:revisionPtr revIDLastSave="0" documentId="8_{8C61842B-9D90-4025-BBDE-974B943CA9D2}" xr6:coauthVersionLast="47" xr6:coauthVersionMax="47" xr10:uidLastSave="{00000000-0000-0000-0000-000000000000}"/>
  <bookViews>
    <workbookView xWindow="-110" yWindow="-110" windowWidth="19420" windowHeight="10300" xr2:uid="{00000000-000D-0000-FFFF-FFFF00000000}"/>
  </bookViews>
  <sheets>
    <sheet name="RAW DATA" sheetId="4" r:id="rId1"/>
    <sheet name="Cleaned Data" sheetId="1" r:id="rId2"/>
    <sheet name="PIVOT TABLE" sheetId="8" r:id="rId3"/>
    <sheet name="CHARTS" sheetId="9" state="hidden" r:id="rId4"/>
    <sheet name="DASHBOARD" sheetId="5" r:id="rId5"/>
  </sheets>
  <definedNames>
    <definedName name="Slicer_Month">#N/A</definedName>
    <definedName name="Slicer_Product_Code">#N/A</definedName>
    <definedName name="Slicer_Year">#N/A</definedName>
  </definedNames>
  <calcPr calcId="191029"/>
  <pivotCaches>
    <pivotCache cacheId="0" r:id="rId6"/>
    <pivotCache cacheId="1"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 i="1" l="1"/>
  <c r="S2" i="1"/>
  <c r="T2" i="1"/>
  <c r="U2" i="1"/>
  <c r="V2" i="1"/>
  <c r="R3" i="1"/>
  <c r="S3" i="1"/>
  <c r="T3" i="1"/>
  <c r="U3" i="1"/>
  <c r="V3" i="1"/>
  <c r="R4" i="1"/>
  <c r="S4" i="1"/>
  <c r="T4" i="1"/>
  <c r="U4" i="1"/>
  <c r="V4" i="1"/>
  <c r="R5" i="1"/>
  <c r="S5" i="1"/>
  <c r="T5" i="1"/>
  <c r="U5" i="1"/>
  <c r="V5" i="1"/>
  <c r="R7" i="1"/>
  <c r="S7" i="1"/>
  <c r="T7" i="1"/>
  <c r="U7" i="1"/>
  <c r="V7" i="1"/>
  <c r="R8" i="1"/>
  <c r="S8" i="1"/>
  <c r="T8" i="1"/>
  <c r="U8" i="1"/>
  <c r="V8" i="1"/>
  <c r="R9" i="1"/>
  <c r="S9" i="1"/>
  <c r="T9" i="1"/>
  <c r="U9" i="1"/>
  <c r="V9" i="1"/>
  <c r="R10" i="1"/>
  <c r="S10" i="1"/>
  <c r="T10" i="1"/>
  <c r="U10" i="1"/>
  <c r="V10" i="1"/>
  <c r="R12" i="1"/>
  <c r="S12" i="1"/>
  <c r="T12" i="1"/>
  <c r="U12" i="1"/>
  <c r="V12" i="1"/>
  <c r="R13" i="1"/>
  <c r="S13" i="1"/>
  <c r="T13" i="1"/>
  <c r="U13" i="1"/>
  <c r="V13" i="1"/>
  <c r="R14" i="1"/>
  <c r="S14" i="1"/>
  <c r="T14" i="1"/>
  <c r="U14" i="1"/>
  <c r="V14" i="1"/>
  <c r="R15" i="1"/>
  <c r="S15" i="1"/>
  <c r="T15" i="1"/>
  <c r="U15" i="1"/>
  <c r="V15" i="1"/>
  <c r="R17" i="1"/>
  <c r="S17" i="1"/>
  <c r="T17" i="1"/>
  <c r="U17" i="1"/>
  <c r="V17" i="1"/>
  <c r="R18" i="1"/>
  <c r="S18" i="1"/>
  <c r="T18" i="1"/>
  <c r="U18" i="1"/>
  <c r="V18" i="1"/>
  <c r="R19" i="1"/>
  <c r="S19" i="1"/>
  <c r="T19" i="1"/>
  <c r="U19" i="1"/>
  <c r="V19" i="1"/>
  <c r="R20" i="1"/>
  <c r="S20" i="1"/>
  <c r="T20" i="1"/>
  <c r="U20" i="1"/>
  <c r="V20" i="1"/>
  <c r="R22" i="1"/>
  <c r="S22" i="1"/>
  <c r="T22" i="1"/>
  <c r="U22" i="1"/>
  <c r="V22" i="1"/>
  <c r="R23" i="1"/>
  <c r="S23" i="1"/>
  <c r="T23" i="1"/>
  <c r="U23" i="1"/>
  <c r="V23" i="1"/>
  <c r="R24" i="1"/>
  <c r="S24" i="1"/>
  <c r="T24" i="1"/>
  <c r="U24" i="1"/>
  <c r="V24" i="1"/>
  <c r="R25" i="1"/>
  <c r="S25" i="1"/>
  <c r="T25" i="1"/>
  <c r="U25" i="1"/>
  <c r="V25" i="1"/>
  <c r="R27" i="1"/>
  <c r="S27" i="1"/>
  <c r="T27" i="1"/>
  <c r="U27" i="1"/>
  <c r="V27" i="1"/>
  <c r="R28" i="1"/>
  <c r="S28" i="1"/>
  <c r="T28" i="1"/>
  <c r="U28" i="1"/>
  <c r="V28" i="1"/>
  <c r="R29" i="1"/>
  <c r="S29" i="1"/>
  <c r="T29" i="1"/>
  <c r="U29" i="1"/>
  <c r="V29" i="1"/>
  <c r="R30" i="1"/>
  <c r="S30" i="1"/>
  <c r="T30" i="1"/>
  <c r="U30" i="1"/>
  <c r="V30" i="1"/>
  <c r="AD1" i="5"/>
  <c r="AE3" i="5"/>
  <c r="V6" i="1"/>
  <c r="V11" i="1"/>
  <c r="V16" i="1"/>
  <c r="V21" i="1"/>
  <c r="V26"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U6" i="1"/>
  <c r="U11" i="1"/>
  <c r="U16" i="1"/>
  <c r="U21" i="1"/>
  <c r="U26"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T6" i="1"/>
  <c r="T11" i="1"/>
  <c r="T16" i="1"/>
  <c r="T21" i="1"/>
  <c r="T26"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S6" i="1"/>
  <c r="S11" i="1"/>
  <c r="S16" i="1"/>
  <c r="S21" i="1"/>
  <c r="S26"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R6" i="1"/>
  <c r="R11" i="1"/>
  <c r="R16" i="1"/>
  <c r="R21" i="1"/>
  <c r="R26"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alcChain>
</file>

<file path=xl/sharedStrings.xml><?xml version="1.0" encoding="utf-8"?>
<sst xmlns="http://schemas.openxmlformats.org/spreadsheetml/2006/main" count="2349" uniqueCount="402">
  <si>
    <t>S/N</t>
  </si>
  <si>
    <t>Sample ID</t>
  </si>
  <si>
    <t>Date Sampled</t>
  </si>
  <si>
    <t>Month</t>
  </si>
  <si>
    <t>Year</t>
  </si>
  <si>
    <t>Product Code</t>
  </si>
  <si>
    <t>Propane (%)</t>
  </si>
  <si>
    <t>Isobutane (%)</t>
  </si>
  <si>
    <t>n-Butane (%)</t>
  </si>
  <si>
    <t>Vapour Pressure @ 37.8°C (bar)</t>
  </si>
  <si>
    <t>Density @ 15°C</t>
  </si>
  <si>
    <t>Propane P/F</t>
  </si>
  <si>
    <t>Isobutane P/F</t>
  </si>
  <si>
    <t>n-Butane P/F</t>
  </si>
  <si>
    <t>VP P/F</t>
  </si>
  <si>
    <t>Density P/F</t>
  </si>
  <si>
    <t>Overall Result</t>
  </si>
  <si>
    <t>TX/LNG/2024/001</t>
  </si>
  <si>
    <t>01/01/2024</t>
  </si>
  <si>
    <t>Jan</t>
  </si>
  <si>
    <t>2024</t>
  </si>
  <si>
    <t>LPG</t>
  </si>
  <si>
    <t>PASS</t>
  </si>
  <si>
    <t>FAIL</t>
  </si>
  <si>
    <t>TX/LNG/2024/002</t>
  </si>
  <si>
    <t>04/01/2024</t>
  </si>
  <si>
    <t>TX/LNG/2024/003</t>
  </si>
  <si>
    <t>09/01/2024</t>
  </si>
  <si>
    <t>TX/LNG/2024/004</t>
  </si>
  <si>
    <t>21/01/2024</t>
  </si>
  <si>
    <t>TX/LNG/2024/005</t>
  </si>
  <si>
    <t>24/01/2024</t>
  </si>
  <si>
    <t>Butane</t>
  </si>
  <si>
    <t>TX/LNG/2024/006</t>
  </si>
  <si>
    <t>02/02/2024</t>
  </si>
  <si>
    <t>Feb</t>
  </si>
  <si>
    <t>TX/LNG/2024/007</t>
  </si>
  <si>
    <t>03/02/2024</t>
  </si>
  <si>
    <t>TX/LNG/2024/008</t>
  </si>
  <si>
    <t>07/02/2024</t>
  </si>
  <si>
    <t>TX/LNG/2024/009</t>
  </si>
  <si>
    <t>22/02/2024</t>
  </si>
  <si>
    <t>TX/LNG/2024/010</t>
  </si>
  <si>
    <t>23/02/2024</t>
  </si>
  <si>
    <t>TX/LNG/2024/011</t>
  </si>
  <si>
    <t>05/03/2024</t>
  </si>
  <si>
    <t>Mar</t>
  </si>
  <si>
    <t>TX/LNG/2024/012</t>
  </si>
  <si>
    <t>08/03/2024</t>
  </si>
  <si>
    <t>TX/LNG/2024/013</t>
  </si>
  <si>
    <t>09/03/2024</t>
  </si>
  <si>
    <t>TX/LNG/2024/014</t>
  </si>
  <si>
    <t>15/03/2024</t>
  </si>
  <si>
    <t>TX/LNG/2024/015</t>
  </si>
  <si>
    <t>24/03/2024</t>
  </si>
  <si>
    <t>TX/LNG/2024/016</t>
  </si>
  <si>
    <t>10/04/2024</t>
  </si>
  <si>
    <t>Apr</t>
  </si>
  <si>
    <t>TX/LNG/2024/017</t>
  </si>
  <si>
    <t>17/04/2024</t>
  </si>
  <si>
    <t>TX/LNG/2024/018</t>
  </si>
  <si>
    <t>20/04/2024</t>
  </si>
  <si>
    <t>TX/LNG/2024/019</t>
  </si>
  <si>
    <t>21/04/2024</t>
  </si>
  <si>
    <t>TX/LNG/2024/020</t>
  </si>
  <si>
    <t>27/04/2024</t>
  </si>
  <si>
    <t>TX/LNG/2024/021</t>
  </si>
  <si>
    <t>03/05/2024</t>
  </si>
  <si>
    <t>May</t>
  </si>
  <si>
    <t>TX/LNG/2024/022</t>
  </si>
  <si>
    <t>04/05/2024</t>
  </si>
  <si>
    <t>TX/LNG/2024/023</t>
  </si>
  <si>
    <t>08/05/2024</t>
  </si>
  <si>
    <t>TX/LNG/2024/024</t>
  </si>
  <si>
    <t>11/05/2024</t>
  </si>
  <si>
    <t>TX/LNG/2024/025</t>
  </si>
  <si>
    <t>15/05/2024</t>
  </si>
  <si>
    <t>TX/LNG/2024/026</t>
  </si>
  <si>
    <t>03/06/2024</t>
  </si>
  <si>
    <t>Jun</t>
  </si>
  <si>
    <t>TX/LNG/2024/027</t>
  </si>
  <si>
    <t>15/06/2024</t>
  </si>
  <si>
    <t>TX/LNG/2024/028</t>
  </si>
  <si>
    <t>26/06/2024</t>
  </si>
  <si>
    <t>TX/LNG/2024/029</t>
  </si>
  <si>
    <t>28/06/2024</t>
  </si>
  <si>
    <t>TX/LNG/2024/030</t>
  </si>
  <si>
    <t>30/06/2024</t>
  </si>
  <si>
    <t>TX/LNG/2024/031</t>
  </si>
  <si>
    <t>03/07/2024</t>
  </si>
  <si>
    <t>Jul</t>
  </si>
  <si>
    <t>TX/LNG/2024/032</t>
  </si>
  <si>
    <t>06/07/2024</t>
  </si>
  <si>
    <t>TX/LNG/2024/033</t>
  </si>
  <si>
    <t>20/07/2024</t>
  </si>
  <si>
    <t>TX/LNG/2024/034</t>
  </si>
  <si>
    <t>22/07/2024</t>
  </si>
  <si>
    <t>TX/LNG/2024/035</t>
  </si>
  <si>
    <t>28/07/2024</t>
  </si>
  <si>
    <t>TX/LNG/2024/036</t>
  </si>
  <si>
    <t>10/08/2024</t>
  </si>
  <si>
    <t>Aug</t>
  </si>
  <si>
    <t>TX/LNG/2024/037</t>
  </si>
  <si>
    <t>18/08/2024</t>
  </si>
  <si>
    <t>TX/LNG/2024/038</t>
  </si>
  <si>
    <t>22/08/2024</t>
  </si>
  <si>
    <t>TX/LNG/2024/039</t>
  </si>
  <si>
    <t>27/08/2024</t>
  </si>
  <si>
    <t>TX/LNG/2024/040</t>
  </si>
  <si>
    <t>30/08/2024</t>
  </si>
  <si>
    <t>TX/LNG/2024/041</t>
  </si>
  <si>
    <t>02/09/2024</t>
  </si>
  <si>
    <t>Sep</t>
  </si>
  <si>
    <t>TX/LNG/2024/042</t>
  </si>
  <si>
    <t>12/09/2024</t>
  </si>
  <si>
    <t>TX/LNG/2024/043</t>
  </si>
  <si>
    <t>26/09/2024</t>
  </si>
  <si>
    <t>TX/LNG/2024/044</t>
  </si>
  <si>
    <t>28/09/2024</t>
  </si>
  <si>
    <t>TX/LNG/2024/045</t>
  </si>
  <si>
    <t>29/09/2024</t>
  </si>
  <si>
    <t>TX/LNG/2024/046</t>
  </si>
  <si>
    <t>09/10/2024</t>
  </si>
  <si>
    <t>Oct</t>
  </si>
  <si>
    <t>TX/LNG/2024/047</t>
  </si>
  <si>
    <t>12/10/2024</t>
  </si>
  <si>
    <t>TX/LNG/2024/048</t>
  </si>
  <si>
    <t>13/10/2024</t>
  </si>
  <si>
    <t>TX/LNG/2024/049</t>
  </si>
  <si>
    <t>17/10/2024</t>
  </si>
  <si>
    <t>TX/LNG/2024/050</t>
  </si>
  <si>
    <t>21/10/2024</t>
  </si>
  <si>
    <t>TX/LNG/2024/051</t>
  </si>
  <si>
    <t>05/11/2024</t>
  </si>
  <si>
    <t>Nov</t>
  </si>
  <si>
    <t>TX/LNG/2024/052</t>
  </si>
  <si>
    <t>07/11/2024</t>
  </si>
  <si>
    <t>TX/LNG/2024/053</t>
  </si>
  <si>
    <t>10/11/2024</t>
  </si>
  <si>
    <t>TX/LNG/2024/054</t>
  </si>
  <si>
    <t>18/11/2024</t>
  </si>
  <si>
    <t>TX/LNG/2024/055</t>
  </si>
  <si>
    <t>23/11/2024</t>
  </si>
  <si>
    <t>TX/LNG/2024/056</t>
  </si>
  <si>
    <t>07/12/2024</t>
  </si>
  <si>
    <t>Dec</t>
  </si>
  <si>
    <t>TX/LNG/2024/057</t>
  </si>
  <si>
    <t>08/12/2024</t>
  </si>
  <si>
    <t>TX/LNG/2024/058</t>
  </si>
  <si>
    <t>13/12/2024</t>
  </si>
  <si>
    <t>TX/LNG/2024/059</t>
  </si>
  <si>
    <t>16/12/2024</t>
  </si>
  <si>
    <t>TX/LNG/2024/060</t>
  </si>
  <si>
    <t>23/12/2024</t>
  </si>
  <si>
    <t>TX/LNG/2025/061</t>
  </si>
  <si>
    <t>08/01/2025</t>
  </si>
  <si>
    <t>2025</t>
  </si>
  <si>
    <t>TX/LNG/2025/062</t>
  </si>
  <si>
    <t>09/01/2025</t>
  </si>
  <si>
    <t>TX/LNG/2025/063</t>
  </si>
  <si>
    <t>10/01/2025</t>
  </si>
  <si>
    <t>TX/LNG/2025/064</t>
  </si>
  <si>
    <t>11/01/2025</t>
  </si>
  <si>
    <t>TX/LNG/2025/065</t>
  </si>
  <si>
    <t>23/01/2025</t>
  </si>
  <si>
    <t>TX/LNG/2025/066</t>
  </si>
  <si>
    <t>01/02/2025</t>
  </si>
  <si>
    <t>TX/LNG/2025/067</t>
  </si>
  <si>
    <t>05/02/2025</t>
  </si>
  <si>
    <t>TX/LNG/2025/068</t>
  </si>
  <si>
    <t>15/02/2025</t>
  </si>
  <si>
    <t>TX/LNG/2025/069</t>
  </si>
  <si>
    <t>18/02/2025</t>
  </si>
  <si>
    <t>TX/LNG/2025/070</t>
  </si>
  <si>
    <t>20/02/2025</t>
  </si>
  <si>
    <t>TX/LNG/2025/071</t>
  </si>
  <si>
    <t>04/03/2025</t>
  </si>
  <si>
    <t>TX/LNG/2025/072</t>
  </si>
  <si>
    <t>20/03/2025</t>
  </si>
  <si>
    <t>TX/LNG/2025/073</t>
  </si>
  <si>
    <t>23/03/2025</t>
  </si>
  <si>
    <t>TX/LNG/2025/074</t>
  </si>
  <si>
    <t>24/03/2025</t>
  </si>
  <si>
    <t>TX/LNG/2025/075</t>
  </si>
  <si>
    <t>31/03/2025</t>
  </si>
  <si>
    <t>TX/LNG/2025/076</t>
  </si>
  <si>
    <t>15/04/2025</t>
  </si>
  <si>
    <t>TX/LNG/2025/077</t>
  </si>
  <si>
    <t>16/04/2025</t>
  </si>
  <si>
    <t>TX/LNG/2025/078</t>
  </si>
  <si>
    <t>18/04/2025</t>
  </si>
  <si>
    <t>TX/LNG/2025/079</t>
  </si>
  <si>
    <t>25/04/2025</t>
  </si>
  <si>
    <t>TX/LNG/2025/080</t>
  </si>
  <si>
    <t>30/04/2025</t>
  </si>
  <si>
    <t>TX/LNG/2025/081</t>
  </si>
  <si>
    <t>12/05/2025</t>
  </si>
  <si>
    <t>TX/LNG/2025/082</t>
  </si>
  <si>
    <t>14/05/2025</t>
  </si>
  <si>
    <t>TX/LNG/2025/083</t>
  </si>
  <si>
    <t>17/05/2025</t>
  </si>
  <si>
    <t>TX/LNG/2025/084</t>
  </si>
  <si>
    <t>18/05/2025</t>
  </si>
  <si>
    <t>TX/LNG/2025/085</t>
  </si>
  <si>
    <t>24/05/2025</t>
  </si>
  <si>
    <t>TX/LNG/2025/086</t>
  </si>
  <si>
    <t>03/06/2025</t>
  </si>
  <si>
    <t>TX/LNG/2025/087</t>
  </si>
  <si>
    <t>13/06/2025</t>
  </si>
  <si>
    <t>TX/LNG/2025/088</t>
  </si>
  <si>
    <t>16/06/2025</t>
  </si>
  <si>
    <t>TX/LNG/2025/089</t>
  </si>
  <si>
    <t>19/06/2025</t>
  </si>
  <si>
    <t>TX/LNG/2025/090</t>
  </si>
  <si>
    <t>27/06/2025</t>
  </si>
  <si>
    <t>TX/LNG/2025/091</t>
  </si>
  <si>
    <t>09/07/2025</t>
  </si>
  <si>
    <t>TX/LNG/2025/092</t>
  </si>
  <si>
    <t>19/07/2025</t>
  </si>
  <si>
    <t>TX/LNG/2025/093</t>
  </si>
  <si>
    <t>21/07/2025</t>
  </si>
  <si>
    <t>TX/LNG/2025/094</t>
  </si>
  <si>
    <t>26/07/2025</t>
  </si>
  <si>
    <t>TX/LNG/2025/095</t>
  </si>
  <si>
    <t>30/07/2025</t>
  </si>
  <si>
    <t>TX/LNG/2025/096</t>
  </si>
  <si>
    <t>06/08/2025</t>
  </si>
  <si>
    <t>TX/LNG/2025/097</t>
  </si>
  <si>
    <t>09/08/2025</t>
  </si>
  <si>
    <t>TX/LNG/2025/098</t>
  </si>
  <si>
    <t>14/08/2025</t>
  </si>
  <si>
    <t>TX/LNG/2025/099</t>
  </si>
  <si>
    <t>19/08/2025</t>
  </si>
  <si>
    <t>TX/LNG/2025/100</t>
  </si>
  <si>
    <t>30/08/2025</t>
  </si>
  <si>
    <t>TX/LNG/2025/101</t>
  </si>
  <si>
    <t>06/09/2025</t>
  </si>
  <si>
    <t>TX/LNG/2025/102</t>
  </si>
  <si>
    <t>08/09/2025</t>
  </si>
  <si>
    <t>TX/LNG/2025/103</t>
  </si>
  <si>
    <t>10/09/2025</t>
  </si>
  <si>
    <t>TX/LNG/2025/104</t>
  </si>
  <si>
    <t>18/09/2025</t>
  </si>
  <si>
    <t>TX/LNG/2025/105</t>
  </si>
  <si>
    <t>23/09/2025</t>
  </si>
  <si>
    <t>TX/LNG/2025/106</t>
  </si>
  <si>
    <t>11/10/2025</t>
  </si>
  <si>
    <t>TX/LNG/2025/107</t>
  </si>
  <si>
    <t>13/10/2025</t>
  </si>
  <si>
    <t>TX/LNG/2025/108</t>
  </si>
  <si>
    <t>15/10/2025</t>
  </si>
  <si>
    <t>TX/LNG/2025/109</t>
  </si>
  <si>
    <t>28/10/2025</t>
  </si>
  <si>
    <t>TX/LNG/2025/110</t>
  </si>
  <si>
    <t>30/10/2025</t>
  </si>
  <si>
    <t>TX/LNG/2025/111</t>
  </si>
  <si>
    <t>02/11/2025</t>
  </si>
  <si>
    <t>TX/LNG/2025/112</t>
  </si>
  <si>
    <t>16/11/2025</t>
  </si>
  <si>
    <t>TX/LNG/2025/113</t>
  </si>
  <si>
    <t>18/11/2025</t>
  </si>
  <si>
    <t>TX/LNG/2025/114</t>
  </si>
  <si>
    <t>25/11/2025</t>
  </si>
  <si>
    <t>TX/LNG/2025/115</t>
  </si>
  <si>
    <t>28/11/2025</t>
  </si>
  <si>
    <t>TX/LNG/2025/116</t>
  </si>
  <si>
    <t>10/12/2025</t>
  </si>
  <si>
    <t>TX/LNG/2025/117</t>
  </si>
  <si>
    <t>14/12/2025</t>
  </si>
  <si>
    <t>TX/LNG/2025/118</t>
  </si>
  <si>
    <t>19/12/2025</t>
  </si>
  <si>
    <t>TX/LNG/2025/119</t>
  </si>
  <si>
    <t>21/12/2025</t>
  </si>
  <si>
    <t>TX/LNG/2025/120</t>
  </si>
  <si>
    <t>31/12/2025</t>
  </si>
  <si>
    <t>TX/LNG/2026/121</t>
  </si>
  <si>
    <t>03/01/2026</t>
  </si>
  <si>
    <t>2026</t>
  </si>
  <si>
    <t>TX/LNG/2026/122</t>
  </si>
  <si>
    <t>05/01/2026</t>
  </si>
  <si>
    <t>TX/LNG/2026/123</t>
  </si>
  <si>
    <t>10/01/2026</t>
  </si>
  <si>
    <t>TX/LNG/2026/124</t>
  </si>
  <si>
    <t>11/01/2026</t>
  </si>
  <si>
    <t>TX/LNG/2026/125</t>
  </si>
  <si>
    <t>30/01/2026</t>
  </si>
  <si>
    <t>TX/LNG/2026/126</t>
  </si>
  <si>
    <t>08/02/2026</t>
  </si>
  <si>
    <t>TX/LNG/2026/127</t>
  </si>
  <si>
    <t>11/02/2026</t>
  </si>
  <si>
    <t>TX/LNG/2026/128</t>
  </si>
  <si>
    <t>18/02/2026</t>
  </si>
  <si>
    <t>TX/LNG/2026/129</t>
  </si>
  <si>
    <t>20/02/2026</t>
  </si>
  <si>
    <t>TX/LNG/2026/130</t>
  </si>
  <si>
    <t>21/02/2026</t>
  </si>
  <si>
    <t>TX/LNG/2026/131</t>
  </si>
  <si>
    <t>04/03/2026</t>
  </si>
  <si>
    <t>TX/LNG/2026/132</t>
  </si>
  <si>
    <t>07/03/2026</t>
  </si>
  <si>
    <t>TX/LNG/2026/133</t>
  </si>
  <si>
    <t>27/03/2026</t>
  </si>
  <si>
    <t>TX/LNG/2026/134</t>
  </si>
  <si>
    <t>28/03/2026</t>
  </si>
  <si>
    <t>TX/LNG/2026/135</t>
  </si>
  <si>
    <t>31/03/2026</t>
  </si>
  <si>
    <t>TX/LNG/2026/136</t>
  </si>
  <si>
    <t>04/04/2026</t>
  </si>
  <si>
    <t>TX/LNG/2026/137</t>
  </si>
  <si>
    <t>12/04/2026</t>
  </si>
  <si>
    <t>TX/LNG/2026/138</t>
  </si>
  <si>
    <t>17/04/2026</t>
  </si>
  <si>
    <t>TX/LNG/2026/139</t>
  </si>
  <si>
    <t>19/04/2026</t>
  </si>
  <si>
    <t>TX/LNG/2026/140</t>
  </si>
  <si>
    <t>25/04/2026</t>
  </si>
  <si>
    <t>TX/LNG/2026/141</t>
  </si>
  <si>
    <t>11/05/2026</t>
  </si>
  <si>
    <t>TX/LNG/2026/142</t>
  </si>
  <si>
    <t>13/05/2026</t>
  </si>
  <si>
    <t>TX/LNG/2026/143</t>
  </si>
  <si>
    <t>14/05/2026</t>
  </si>
  <si>
    <t>TX/LNG/2026/144</t>
  </si>
  <si>
    <t>15/05/2026</t>
  </si>
  <si>
    <t>TX/LNG/2026/145</t>
  </si>
  <si>
    <t>27/05/2026</t>
  </si>
  <si>
    <t>TX/LNG/2026/146</t>
  </si>
  <si>
    <t>14/06/2026</t>
  </si>
  <si>
    <t>TX/LNG/2026/147</t>
  </si>
  <si>
    <t>18/06/2026</t>
  </si>
  <si>
    <t>TX/LNG/2026/148</t>
  </si>
  <si>
    <t>25/06/2026</t>
  </si>
  <si>
    <t>TX/LNG/2026/149</t>
  </si>
  <si>
    <t>26/06/2026</t>
  </si>
  <si>
    <t>TX/LNG/2026/150</t>
  </si>
  <si>
    <t>28/06/2026</t>
  </si>
  <si>
    <t>Row Labels</t>
  </si>
  <si>
    <t>Grand Total</t>
  </si>
  <si>
    <t>Column Labels</t>
  </si>
  <si>
    <t>Count of Sample ID</t>
  </si>
  <si>
    <t>Average of Propane (%)</t>
  </si>
  <si>
    <t>PROPANE FAIL</t>
  </si>
  <si>
    <t>ISOBUTANE FAIL</t>
  </si>
  <si>
    <t>n BUTANE FAIL</t>
  </si>
  <si>
    <t>VAPOUR PRESSURE FAIL</t>
  </si>
  <si>
    <t>DENSITY FAIL</t>
  </si>
  <si>
    <t>Sum of PROPANE FAIL</t>
  </si>
  <si>
    <t>Sum of ISOBUTANE FAIL</t>
  </si>
  <si>
    <t>Sum of n BUTANE FAIL</t>
  </si>
  <si>
    <t>Sum of VAPOUR PRESSURE FAIL</t>
  </si>
  <si>
    <t>Sum of DENSITY FAIL</t>
  </si>
  <si>
    <t>Count of Product Code</t>
  </si>
  <si>
    <t>Count of S/N</t>
  </si>
  <si>
    <t>January</t>
  </si>
  <si>
    <t>feruary</t>
  </si>
  <si>
    <t>april</t>
  </si>
  <si>
    <t>APRIL</t>
  </si>
  <si>
    <t>may</t>
  </si>
  <si>
    <t>MAY</t>
  </si>
  <si>
    <t>JULY</t>
  </si>
  <si>
    <t>AUG</t>
  </si>
  <si>
    <t>august</t>
  </si>
  <si>
    <t>SEPTEMBER</t>
  </si>
  <si>
    <t>SEPT</t>
  </si>
  <si>
    <t>OCTOBER</t>
  </si>
  <si>
    <t>NOVEMber</t>
  </si>
  <si>
    <t>feb</t>
  </si>
  <si>
    <t>JUNE</t>
  </si>
  <si>
    <t>december</t>
  </si>
  <si>
    <t>12EMBERR</t>
  </si>
  <si>
    <t>AUGUST</t>
  </si>
  <si>
    <t>04/1\2024</t>
  </si>
  <si>
    <t>21-04-2024</t>
  </si>
  <si>
    <t>13/10/244</t>
  </si>
  <si>
    <t>22-2-24</t>
  </si>
  <si>
    <t>17-4-24</t>
  </si>
  <si>
    <t>27/06/2026</t>
  </si>
  <si>
    <t>TX/lNG-2026-126</t>
  </si>
  <si>
    <t>TX/LNG/26/127</t>
  </si>
  <si>
    <t>TX/LNg/24/003</t>
  </si>
  <si>
    <t>tX/LNG/2024/004</t>
  </si>
  <si>
    <t>TX/LnG/2024/002</t>
  </si>
  <si>
    <t>Tx-LNG-2024-12</t>
  </si>
  <si>
    <t>TX/lng/26/150</t>
  </si>
  <si>
    <t>TX/Lgn/2026/149</t>
  </si>
  <si>
    <t>TX/lng/2026/137</t>
  </si>
  <si>
    <t>tx/LNG/2026/133</t>
  </si>
  <si>
    <t>Txx-LNG-2026-129</t>
  </si>
  <si>
    <t>TX/llNG/2025/119</t>
  </si>
  <si>
    <t>TX/LnnG/2025/111</t>
  </si>
  <si>
    <t>TX-LNG-2025-098</t>
  </si>
  <si>
    <t>TX/lnG/2024/011</t>
  </si>
  <si>
    <t>Tx/LNG/24/024</t>
  </si>
  <si>
    <t>TX-LNG-2024-017</t>
  </si>
  <si>
    <t>tx/lng/2024/014</t>
  </si>
  <si>
    <t>tX/LNG/24/013</t>
  </si>
  <si>
    <t>Lpg</t>
  </si>
  <si>
    <t>LPg</t>
  </si>
  <si>
    <t>lpg</t>
  </si>
  <si>
    <t>lpgg</t>
  </si>
  <si>
    <t>null</t>
  </si>
  <si>
    <t>NULL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</si>
</sst>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b/>
      <sz val="11"/>
      <name val="Calibri"/>
      <family val="2"/>
    </font>
    <font>
      <sz val="10"/>
      <name val="Calibri"/>
      <family val="2"/>
    </font>
    <font>
      <b/>
      <sz val="10"/>
      <color rgb="FF276221"/>
      <name val="Calibri"/>
      <family val="2"/>
    </font>
    <font>
      <b/>
      <sz val="10"/>
      <color rgb="FF9C0006"/>
      <name val="Calibri"/>
      <family val="2"/>
    </font>
    <font>
      <b/>
      <sz val="11"/>
      <color theme="1"/>
      <name val="Calibri"/>
      <family val="2"/>
      <scheme val="minor"/>
    </font>
    <font>
      <sz val="10"/>
      <name val="Calibri"/>
    </font>
  </fonts>
  <fills count="2">
    <fill>
      <patternFill patternType="none"/>
    </fill>
    <fill>
      <patternFill patternType="gray125"/>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26">
    <xf numFmtId="0" fontId="0" fillId="0" borderId="0" xfId="0"/>
    <xf numFmtId="0" fontId="2" fillId="0" borderId="1" xfId="0" applyFont="1" applyBorder="1" applyAlignment="1">
      <alignment horizontal="center" vertical="center"/>
    </xf>
    <xf numFmtId="0" fontId="3" fillId="0" borderId="1" xfId="0" applyFont="1" applyBorder="1" applyAlignment="1">
      <alignment horizontal="center" vertical="center"/>
    </xf>
    <xf numFmtId="0" fontId="4" fillId="0" borderId="1" xfId="0" applyFont="1" applyBorder="1" applyAlignment="1">
      <alignment horizontal="center" vertical="center"/>
    </xf>
    <xf numFmtId="0" fontId="2" fillId="0" borderId="2" xfId="0" applyFont="1" applyBorder="1" applyAlignment="1">
      <alignment horizontal="center" vertical="center"/>
    </xf>
    <xf numFmtId="0" fontId="4" fillId="0" borderId="3" xfId="0" applyFont="1" applyBorder="1" applyAlignment="1">
      <alignment horizontal="center" vertical="center"/>
    </xf>
    <xf numFmtId="0" fontId="3" fillId="0" borderId="3" xfId="0"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3" fillId="0" borderId="5" xfId="0" applyFont="1" applyBorder="1" applyAlignment="1">
      <alignment horizontal="center" vertical="center"/>
    </xf>
    <xf numFmtId="0" fontId="3" fillId="0" borderId="0" xfId="0" applyFont="1" applyAlignment="1">
      <alignment horizontal="center" vertical="center"/>
    </xf>
    <xf numFmtId="0" fontId="5" fillId="0" borderId="0" xfId="0" applyFont="1"/>
    <xf numFmtId="10" fontId="0" fillId="0" borderId="0" xfId="0" applyNumberFormat="1"/>
    <xf numFmtId="0" fontId="0" fillId="0" borderId="0" xfId="0" applyNumberFormat="1"/>
    <xf numFmtId="14" fontId="2" fillId="0" borderId="1" xfId="0" applyNumberFormat="1" applyFont="1" applyBorder="1" applyAlignment="1">
      <alignment horizontal="center" vertical="center"/>
    </xf>
    <xf numFmtId="0" fontId="1" fillId="0" borderId="5" xfId="0" applyNumberFormat="1" applyFont="1" applyBorder="1" applyAlignment="1">
      <alignment horizontal="center" vertical="center" wrapText="1"/>
    </xf>
    <xf numFmtId="0" fontId="2" fillId="0" borderId="1" xfId="0" applyNumberFormat="1" applyFont="1" applyBorder="1" applyAlignment="1">
      <alignment horizontal="center" vertical="center"/>
    </xf>
    <xf numFmtId="0" fontId="6" fillId="0" borderId="1" xfId="0" applyFont="1" applyBorder="1" applyAlignment="1">
      <alignment horizontal="center" vertical="center"/>
    </xf>
  </cellXfs>
  <cellStyles count="1">
    <cellStyle name="Normal" xfId="0" builtinId="0"/>
  </cellStyles>
  <dxfs count="29">
    <dxf>
      <font>
        <b/>
        <i val="0"/>
        <strike val="0"/>
        <condense val="0"/>
        <extend val="0"/>
        <outline val="0"/>
        <shadow val="0"/>
        <u val="none"/>
        <vertAlign val="baseline"/>
        <sz val="10"/>
        <color rgb="FF276221"/>
        <name val="Calibri"/>
        <family val="2"/>
        <scheme val="none"/>
      </font>
      <numFmt numFmtId="0" formatCode="General"/>
      <alignment horizontal="center" vertical="center" textRotation="0" wrapText="0" indent="0" justifyLastLine="0" shrinkToFit="0" readingOrder="0"/>
    </dxf>
    <dxf>
      <font>
        <b/>
        <i val="0"/>
        <strike val="0"/>
        <condense val="0"/>
        <extend val="0"/>
        <outline val="0"/>
        <shadow val="0"/>
        <u val="none"/>
        <vertAlign val="baseline"/>
        <sz val="10"/>
        <color rgb="FF276221"/>
        <name val="Calibri"/>
        <family val="2"/>
        <scheme val="none"/>
      </font>
      <numFmt numFmtId="0" formatCode="General"/>
      <alignment horizontal="center" vertical="center" textRotation="0" wrapText="0" indent="0" justifyLastLine="0" shrinkToFit="0" readingOrder="0"/>
    </dxf>
    <dxf>
      <font>
        <b/>
        <i val="0"/>
        <strike val="0"/>
        <condense val="0"/>
        <extend val="0"/>
        <outline val="0"/>
        <shadow val="0"/>
        <u val="none"/>
        <vertAlign val="baseline"/>
        <sz val="10"/>
        <color rgb="FF276221"/>
        <name val="Calibri"/>
        <family val="2"/>
        <scheme val="none"/>
      </font>
      <numFmt numFmtId="0" formatCode="General"/>
      <alignment horizontal="center" vertical="center" textRotation="0" wrapText="0" indent="0" justifyLastLine="0" shrinkToFit="0" readingOrder="0"/>
    </dxf>
    <dxf>
      <font>
        <b/>
        <i val="0"/>
        <strike val="0"/>
        <condense val="0"/>
        <extend val="0"/>
        <outline val="0"/>
        <shadow val="0"/>
        <u val="none"/>
        <vertAlign val="baseline"/>
        <sz val="10"/>
        <color rgb="FF276221"/>
        <name val="Calibri"/>
        <family val="2"/>
        <scheme val="none"/>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276221"/>
        <name val="Calibri"/>
        <family val="2"/>
        <scheme val="none"/>
      </font>
      <numFmt numFmtId="0" formatCode="Genera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276221"/>
        <name val="Calibri"/>
        <family val="2"/>
        <scheme val="none"/>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i val="0"/>
        <strike val="0"/>
        <condense val="0"/>
        <extend val="0"/>
        <outline val="0"/>
        <shadow val="0"/>
        <u val="none"/>
        <vertAlign val="baseline"/>
        <sz val="10"/>
        <color rgb="FF27622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27622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27622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27622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27622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auto="1"/>
        <name val="Calibri"/>
        <family val="2"/>
        <scheme val="none"/>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0"/>
        <color rgb="FF276221"/>
        <name val="Calibri"/>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auto="1"/>
        <name val="Calibri"/>
        <family val="2"/>
        <scheme val="none"/>
      </font>
      <alignment horizontal="center" vertical="center" textRotation="0" wrapText="1" indent="0" justifyLastLine="0" shrinkToFit="0" readingOrder="0"/>
      <border diagonalUp="0" diagonalDown="0" outline="0">
        <left style="thin">
          <color rgb="FF000000"/>
        </left>
        <right style="thin">
          <color rgb="FF000000"/>
        </right>
        <top/>
        <bottom/>
      </border>
    </dxf>
    <dxf>
      <font>
        <color theme="5"/>
        <name val="Arial Black"/>
        <family val="2"/>
        <scheme val="none"/>
      </font>
    </dxf>
    <dxf>
      <font>
        <color theme="5"/>
        <name val="Arial Black"/>
        <family val="2"/>
        <scheme val="none"/>
      </font>
    </dxf>
  </dxfs>
  <tableStyles count="3" defaultTableStyle="TableStyleMedium9" defaultPivotStyle="PivotStyleLight16">
    <tableStyle name="Slicer Style 1" pivot="0" table="0" count="5" xr9:uid="{D1984A03-3304-47F2-B958-3249B96BE42D}">
      <tableStyleElement type="wholeTable" dxfId="28"/>
      <tableStyleElement type="headerRow" dxfId="27"/>
    </tableStyle>
    <tableStyle name="Slicer Style 2" pivot="0" table="0" count="4" xr9:uid="{95F0348B-B6E0-49EE-97CF-766A075ACE7A}"/>
    <tableStyle name="Slicer Style 3" pivot="0" table="0" count="6" xr9:uid="{8C44B2D3-A0C9-4440-A582-AB5C48BCC305}"/>
  </tableStyles>
  <colors>
    <mruColors>
      <color rgb="FFFFFFFF"/>
    </mruColors>
  </colors>
  <extLst>
    <ext xmlns:x14="http://schemas.microsoft.com/office/spreadsheetml/2009/9/main" uri="{46F421CA-312F-682f-3DD2-61675219B42D}">
      <x14:dxfs count="13">
        <dxf>
          <font>
            <color theme="5"/>
            <name val="Arial Black"/>
            <family val="2"/>
            <scheme val="none"/>
          </font>
        </dxf>
        <dxf>
          <font>
            <color theme="6"/>
            <name val="Arial Black"/>
            <family val="2"/>
            <scheme val="none"/>
          </font>
        </dxf>
        <dxf>
          <font>
            <color theme="6"/>
          </font>
        </dxf>
        <dxf>
          <font>
            <color theme="5"/>
            <name val="Arial Black"/>
            <family val="2"/>
            <scheme val="none"/>
          </font>
        </dxf>
        <dxf>
          <font>
            <color theme="6"/>
            <name val="Arial Black"/>
            <family val="2"/>
            <scheme val="none"/>
          </font>
        </dxf>
        <dxf>
          <font>
            <color theme="5"/>
            <name val="Arial Black"/>
            <family val="2"/>
            <scheme val="none"/>
          </font>
        </dxf>
        <dxf>
          <font>
            <color theme="6"/>
            <name val="Arial Black"/>
            <family val="2"/>
            <scheme val="none"/>
          </font>
        </dxf>
        <dxf>
          <font>
            <b val="0"/>
            <i val="0"/>
            <color theme="6"/>
            <name val="Arial Black"/>
            <family val="2"/>
            <scheme val="none"/>
          </font>
        </dxf>
        <dxf>
          <font>
            <color theme="5"/>
            <name val="Arial Black"/>
            <family val="2"/>
            <scheme val="none"/>
          </font>
        </dxf>
        <dxf>
          <font>
            <color theme="7"/>
            <name val="Arial Black"/>
            <family val="2"/>
            <scheme val="none"/>
          </font>
        </dxf>
        <dxf>
          <font>
            <color theme="5"/>
            <name val="Arial Black"/>
            <family val="2"/>
            <scheme val="none"/>
          </font>
        </dxf>
        <dxf>
          <font>
            <name val="Cambria"/>
            <family val="1"/>
            <scheme val="major"/>
          </font>
        </dxf>
        <dxf>
          <font>
            <color theme="6"/>
            <name val="Arial Black"/>
            <family val="2"/>
            <scheme val="none"/>
          </font>
        </dxf>
      </x14:dxfs>
    </ext>
    <ext xmlns:x14="http://schemas.microsoft.com/office/spreadsheetml/2009/9/main" uri="{EB79DEF2-80B8-43e5-95BD-54CBDDF9020C}">
      <x14:slicerStyles defaultSlicerStyle="SlicerStyleLight1">
        <x14:slicerStyle name="Slicer Style 1">
          <x14:slicerStyleElements>
            <x14:slicerStyleElement type="unselectedItemWithNoData" dxfId="12"/>
            <x14:slicerStyleElement type="selectedItemWithData" dxfId="11"/>
            <x14:slicerStyleElement type="selectedItemWithNoData" dxfId="10"/>
          </x14:slicerStyleElements>
        </x14:slicerStyle>
        <x14:slicerStyle name="Slicer Style 2">
          <x14:slicerStyleElements>
            <x14:slicerStyleElement type="unselectedItemWithData" dxfId="9"/>
            <x14:slicerStyleElement type="unselectedItemWithNoData" dxfId="8"/>
            <x14:slicerStyleElement type="selectedItemWithData" dxfId="7"/>
            <x14:slicerStyleElement type="selectedItemWithNoData" dxfId="6"/>
          </x14:slicerStyleElements>
        </x14:slicerStyle>
        <x14:slicerStyle name="Slicer Style 3">
          <x14:slicerStyleElements>
            <x14:slicerStyleElement type="unselectedItemWithData" dxfId="5"/>
            <x14:slicerStyleElement type="unselectedItemWithNoData" dxfId="4"/>
            <x14:slicerStyleElement type="selectedItemWithData" dxfId="3"/>
            <x14:slicerStyleElement type="selectedItemWithNo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[NGL QUALITY WORKSHEET .xlsx]PIVOT TABLE!PivotTable3</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TABLE'!$L$13:$L$14</c:f>
              <c:strCache>
                <c:ptCount val="1"/>
                <c:pt idx="0">
                  <c:v>PASS</c:v>
                </c:pt>
              </c:strCache>
            </c:strRef>
          </c:tx>
          <c:spPr>
            <a:solidFill>
              <a:schemeClr val="accent1"/>
            </a:solidFill>
            <a:ln>
              <a:noFill/>
            </a:ln>
            <a:effectLst/>
          </c:spPr>
          <c:invertIfNegative val="0"/>
          <c:cat>
            <c:strRef>
              <c:f>'PIVOT TABLE'!$K$15:$K$18</c:f>
              <c:strCache>
                <c:ptCount val="3"/>
                <c:pt idx="0">
                  <c:v>2024</c:v>
                </c:pt>
                <c:pt idx="1">
                  <c:v>2025</c:v>
                </c:pt>
                <c:pt idx="2">
                  <c:v>2026</c:v>
                </c:pt>
              </c:strCache>
            </c:strRef>
          </c:cat>
          <c:val>
            <c:numRef>
              <c:f>'PIVOT TABLE'!$L$15:$L$18</c:f>
              <c:numCache>
                <c:formatCode>General</c:formatCode>
                <c:ptCount val="3"/>
                <c:pt idx="0">
                  <c:v>42</c:v>
                </c:pt>
                <c:pt idx="1">
                  <c:v>41</c:v>
                </c:pt>
                <c:pt idx="2">
                  <c:v>22</c:v>
                </c:pt>
              </c:numCache>
            </c:numRef>
          </c:val>
          <c:extLst>
            <c:ext xmlns:c16="http://schemas.microsoft.com/office/drawing/2014/chart" uri="{C3380CC4-5D6E-409C-BE32-E72D297353CC}">
              <c16:uniqueId val="{00000000-1783-4482-9B20-C82B089DFCB9}"/>
            </c:ext>
          </c:extLst>
        </c:ser>
        <c:dLbls>
          <c:showLegendKey val="0"/>
          <c:showVal val="0"/>
          <c:showCatName val="0"/>
          <c:showSerName val="0"/>
          <c:showPercent val="0"/>
          <c:showBubbleSize val="0"/>
        </c:dLbls>
        <c:gapWidth val="150"/>
        <c:overlap val="100"/>
        <c:axId val="108708447"/>
        <c:axId val="108720927"/>
      </c:barChart>
      <c:catAx>
        <c:axId val="10870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20927"/>
        <c:crosses val="autoZero"/>
        <c:auto val="1"/>
        <c:lblAlgn val="ctr"/>
        <c:lblOffset val="100"/>
        <c:noMultiLvlLbl val="0"/>
      </c:catAx>
      <c:valAx>
        <c:axId val="1087209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708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[NGL QUALITY WORKSHEET .xlsx]PIVOT TABLE!PivotTable4</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TABLE'!$G$2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TABLE'!$F$3:$F$36</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2024</c:v>
                  </c:pt>
                  <c:pt idx="12">
                    <c:v>2025</c:v>
                  </c:pt>
                  <c:pt idx="24">
                    <c:v>2026</c:v>
                  </c:pt>
                </c:lvl>
              </c:multiLvlStrCache>
            </c:multiLvlStrRef>
          </c:cat>
          <c:val>
            <c:numRef>
              <c:f>'PIVOT TABLE'!$G$3:$G$36</c:f>
              <c:numCache>
                <c:formatCode>General</c:formatCode>
                <c:ptCount val="30"/>
                <c:pt idx="0">
                  <c:v>9.3000000000000007</c:v>
                </c:pt>
                <c:pt idx="1">
                  <c:v>9.1419999999999995</c:v>
                </c:pt>
                <c:pt idx="2">
                  <c:v>10.112</c:v>
                </c:pt>
                <c:pt idx="3">
                  <c:v>10.326000000000001</c:v>
                </c:pt>
                <c:pt idx="4">
                  <c:v>8.8219999999999992</c:v>
                </c:pt>
                <c:pt idx="5">
                  <c:v>13.532</c:v>
                </c:pt>
                <c:pt idx="6">
                  <c:v>11.686</c:v>
                </c:pt>
                <c:pt idx="7">
                  <c:v>11.45</c:v>
                </c:pt>
                <c:pt idx="8">
                  <c:v>7.6679999999999993</c:v>
                </c:pt>
                <c:pt idx="9">
                  <c:v>11.63</c:v>
                </c:pt>
                <c:pt idx="10">
                  <c:v>8.6840000000000011</c:v>
                </c:pt>
                <c:pt idx="11">
                  <c:v>11.27</c:v>
                </c:pt>
                <c:pt idx="12">
                  <c:v>11.129999999999999</c:v>
                </c:pt>
                <c:pt idx="13">
                  <c:v>9.6440000000000019</c:v>
                </c:pt>
                <c:pt idx="14">
                  <c:v>11.903999999999998</c:v>
                </c:pt>
                <c:pt idx="15">
                  <c:v>8.0839999999999996</c:v>
                </c:pt>
                <c:pt idx="16">
                  <c:v>9.7420000000000009</c:v>
                </c:pt>
                <c:pt idx="17">
                  <c:v>11.618000000000002</c:v>
                </c:pt>
                <c:pt idx="18">
                  <c:v>9.9439999999999991</c:v>
                </c:pt>
                <c:pt idx="19">
                  <c:v>10.035999999999998</c:v>
                </c:pt>
                <c:pt idx="20">
                  <c:v>10.587999999999999</c:v>
                </c:pt>
                <c:pt idx="21">
                  <c:v>13.462</c:v>
                </c:pt>
                <c:pt idx="22">
                  <c:v>12.56</c:v>
                </c:pt>
                <c:pt idx="23">
                  <c:v>10.66</c:v>
                </c:pt>
                <c:pt idx="24">
                  <c:v>12.106</c:v>
                </c:pt>
                <c:pt idx="25">
                  <c:v>9.581999999999999</c:v>
                </c:pt>
                <c:pt idx="26">
                  <c:v>8.4619999999999997</c:v>
                </c:pt>
                <c:pt idx="27">
                  <c:v>11.056000000000001</c:v>
                </c:pt>
                <c:pt idx="28">
                  <c:v>10.370000000000001</c:v>
                </c:pt>
                <c:pt idx="29">
                  <c:v>9.8339999999999996</c:v>
                </c:pt>
              </c:numCache>
            </c:numRef>
          </c:val>
          <c:smooth val="0"/>
          <c:extLst>
            <c:ext xmlns:c16="http://schemas.microsoft.com/office/drawing/2014/chart" uri="{C3380CC4-5D6E-409C-BE32-E72D297353CC}">
              <c16:uniqueId val="{00000000-AC70-46B5-9517-01AEF33D10FF}"/>
            </c:ext>
          </c:extLst>
        </c:ser>
        <c:dLbls>
          <c:showLegendKey val="0"/>
          <c:showVal val="0"/>
          <c:showCatName val="0"/>
          <c:showSerName val="0"/>
          <c:showPercent val="0"/>
          <c:showBubbleSize val="0"/>
        </c:dLbls>
        <c:marker val="1"/>
        <c:smooth val="0"/>
        <c:axId val="1229062384"/>
        <c:axId val="1229038864"/>
      </c:lineChart>
      <c:catAx>
        <c:axId val="122906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038864"/>
        <c:crosses val="autoZero"/>
        <c:auto val="1"/>
        <c:lblAlgn val="ctr"/>
        <c:lblOffset val="100"/>
        <c:noMultiLvlLbl val="0"/>
      </c:catAx>
      <c:valAx>
        <c:axId val="1229038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9062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[NGL QUALITY WORKSHEET .xlsx]PIVOT TABLE!PivotTable6</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TABLE'!$A$20</c:f>
              <c:strCache>
                <c:ptCount val="1"/>
                <c:pt idx="0">
                  <c:v>Sum of PROPANE FAIL</c:v>
                </c:pt>
              </c:strCache>
            </c:strRef>
          </c:tx>
          <c:spPr>
            <a:solidFill>
              <a:schemeClr val="accent1"/>
            </a:solidFill>
            <a:ln>
              <a:noFill/>
            </a:ln>
            <a:effectLst/>
          </c:spPr>
          <c:invertIfNegative val="0"/>
          <c:cat>
            <c:strRef>
              <c:f>'PIVOT TABLE'!$A$21</c:f>
              <c:strCache>
                <c:ptCount val="1"/>
                <c:pt idx="0">
                  <c:v>Total</c:v>
                </c:pt>
              </c:strCache>
            </c:strRef>
          </c:cat>
          <c:val>
            <c:numRef>
              <c:f>'PIVOT TABLE'!$A$21</c:f>
              <c:numCache>
                <c:formatCode>General</c:formatCode>
                <c:ptCount val="1"/>
                <c:pt idx="0">
                  <c:v>5</c:v>
                </c:pt>
              </c:numCache>
            </c:numRef>
          </c:val>
          <c:extLst>
            <c:ext xmlns:c16="http://schemas.microsoft.com/office/drawing/2014/chart" uri="{C3380CC4-5D6E-409C-BE32-E72D297353CC}">
              <c16:uniqueId val="{00000000-1146-4E20-87C3-1C0FE215DD57}"/>
            </c:ext>
          </c:extLst>
        </c:ser>
        <c:ser>
          <c:idx val="1"/>
          <c:order val="1"/>
          <c:tx>
            <c:strRef>
              <c:f>'PIVOT TABLE'!$B$20</c:f>
              <c:strCache>
                <c:ptCount val="1"/>
                <c:pt idx="0">
                  <c:v>Sum of ISOBUTANE FAIL</c:v>
                </c:pt>
              </c:strCache>
            </c:strRef>
          </c:tx>
          <c:spPr>
            <a:solidFill>
              <a:schemeClr val="accent2"/>
            </a:solidFill>
            <a:ln>
              <a:noFill/>
            </a:ln>
            <a:effectLst/>
          </c:spPr>
          <c:invertIfNegative val="0"/>
          <c:cat>
            <c:strRef>
              <c:f>'PIVOT TABLE'!$A$21</c:f>
              <c:strCache>
                <c:ptCount val="1"/>
                <c:pt idx="0">
                  <c:v>Total</c:v>
                </c:pt>
              </c:strCache>
            </c:strRef>
          </c:cat>
          <c:val>
            <c:numRef>
              <c:f>'PIVOT TABLE'!$B$21</c:f>
              <c:numCache>
                <c:formatCode>General</c:formatCode>
                <c:ptCount val="1"/>
                <c:pt idx="0">
                  <c:v>0</c:v>
                </c:pt>
              </c:numCache>
            </c:numRef>
          </c:val>
          <c:extLst>
            <c:ext xmlns:c16="http://schemas.microsoft.com/office/drawing/2014/chart" uri="{C3380CC4-5D6E-409C-BE32-E72D297353CC}">
              <c16:uniqueId val="{00000001-1146-4E20-87C3-1C0FE215DD57}"/>
            </c:ext>
          </c:extLst>
        </c:ser>
        <c:ser>
          <c:idx val="2"/>
          <c:order val="2"/>
          <c:tx>
            <c:strRef>
              <c:f>'PIVOT TABLE'!$C$20</c:f>
              <c:strCache>
                <c:ptCount val="1"/>
                <c:pt idx="0">
                  <c:v>Sum of n BUTANE FAIL</c:v>
                </c:pt>
              </c:strCache>
            </c:strRef>
          </c:tx>
          <c:spPr>
            <a:solidFill>
              <a:schemeClr val="accent3"/>
            </a:solidFill>
            <a:ln>
              <a:noFill/>
            </a:ln>
            <a:effectLst/>
          </c:spPr>
          <c:invertIfNegative val="0"/>
          <c:cat>
            <c:strRef>
              <c:f>'PIVOT TABLE'!$A$21</c:f>
              <c:strCache>
                <c:ptCount val="1"/>
                <c:pt idx="0">
                  <c:v>Total</c:v>
                </c:pt>
              </c:strCache>
            </c:strRef>
          </c:cat>
          <c:val>
            <c:numRef>
              <c:f>'PIVOT TABLE'!$C$21</c:f>
              <c:numCache>
                <c:formatCode>General</c:formatCode>
                <c:ptCount val="1"/>
                <c:pt idx="0">
                  <c:v>5</c:v>
                </c:pt>
              </c:numCache>
            </c:numRef>
          </c:val>
          <c:extLst>
            <c:ext xmlns:c16="http://schemas.microsoft.com/office/drawing/2014/chart" uri="{C3380CC4-5D6E-409C-BE32-E72D297353CC}">
              <c16:uniqueId val="{00000002-1146-4E20-87C3-1C0FE215DD57}"/>
            </c:ext>
          </c:extLst>
        </c:ser>
        <c:ser>
          <c:idx val="3"/>
          <c:order val="3"/>
          <c:tx>
            <c:strRef>
              <c:f>'PIVOT TABLE'!$D$20</c:f>
              <c:strCache>
                <c:ptCount val="1"/>
                <c:pt idx="0">
                  <c:v>Sum of VAPOUR PRESSURE FAIL</c:v>
                </c:pt>
              </c:strCache>
            </c:strRef>
          </c:tx>
          <c:spPr>
            <a:solidFill>
              <a:schemeClr val="accent4"/>
            </a:solidFill>
            <a:ln>
              <a:noFill/>
            </a:ln>
            <a:effectLst/>
          </c:spPr>
          <c:invertIfNegative val="0"/>
          <c:cat>
            <c:strRef>
              <c:f>'PIVOT TABLE'!$A$21</c:f>
              <c:strCache>
                <c:ptCount val="1"/>
                <c:pt idx="0">
                  <c:v>Total</c:v>
                </c:pt>
              </c:strCache>
            </c:strRef>
          </c:cat>
          <c:val>
            <c:numRef>
              <c:f>'PIVOT TABLE'!$D$21</c:f>
              <c:numCache>
                <c:formatCode>General</c:formatCode>
                <c:ptCount val="1"/>
                <c:pt idx="0">
                  <c:v>0</c:v>
                </c:pt>
              </c:numCache>
            </c:numRef>
          </c:val>
          <c:extLst>
            <c:ext xmlns:c16="http://schemas.microsoft.com/office/drawing/2014/chart" uri="{C3380CC4-5D6E-409C-BE32-E72D297353CC}">
              <c16:uniqueId val="{00000003-1146-4E20-87C3-1C0FE215DD57}"/>
            </c:ext>
          </c:extLst>
        </c:ser>
        <c:ser>
          <c:idx val="4"/>
          <c:order val="4"/>
          <c:tx>
            <c:strRef>
              <c:f>'PIVOT TABLE'!$E$20</c:f>
              <c:strCache>
                <c:ptCount val="1"/>
                <c:pt idx="0">
                  <c:v>Sum of DENSITY FAIL</c:v>
                </c:pt>
              </c:strCache>
            </c:strRef>
          </c:tx>
          <c:spPr>
            <a:solidFill>
              <a:schemeClr val="accent5"/>
            </a:solidFill>
            <a:ln>
              <a:noFill/>
            </a:ln>
            <a:effectLst/>
          </c:spPr>
          <c:invertIfNegative val="0"/>
          <c:cat>
            <c:strRef>
              <c:f>'PIVOT TABLE'!$A$21</c:f>
              <c:strCache>
                <c:ptCount val="1"/>
                <c:pt idx="0">
                  <c:v>Total</c:v>
                </c:pt>
              </c:strCache>
            </c:strRef>
          </c:cat>
          <c:val>
            <c:numRef>
              <c:f>'PIVOT TABLE'!$E$21</c:f>
              <c:numCache>
                <c:formatCode>General</c:formatCode>
                <c:ptCount val="1"/>
                <c:pt idx="0">
                  <c:v>36</c:v>
                </c:pt>
              </c:numCache>
            </c:numRef>
          </c:val>
          <c:extLst>
            <c:ext xmlns:c16="http://schemas.microsoft.com/office/drawing/2014/chart" uri="{C3380CC4-5D6E-409C-BE32-E72D297353CC}">
              <c16:uniqueId val="{00000004-1146-4E20-87C3-1C0FE215DD57}"/>
            </c:ext>
          </c:extLst>
        </c:ser>
        <c:dLbls>
          <c:showLegendKey val="0"/>
          <c:showVal val="0"/>
          <c:showCatName val="0"/>
          <c:showSerName val="0"/>
          <c:showPercent val="0"/>
          <c:showBubbleSize val="0"/>
        </c:dLbls>
        <c:gapWidth val="219"/>
        <c:overlap val="-27"/>
        <c:axId val="191138943"/>
        <c:axId val="191144703"/>
      </c:barChart>
      <c:catAx>
        <c:axId val="191138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44703"/>
        <c:crosses val="autoZero"/>
        <c:auto val="1"/>
        <c:lblAlgn val="ctr"/>
        <c:lblOffset val="100"/>
        <c:noMultiLvlLbl val="0"/>
      </c:catAx>
      <c:valAx>
        <c:axId val="191144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38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[NGL QUALITY WORKSHEET .xlsx]PIVOT TABLE!PivotTable9</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TABLE'!$I$5:$I$6</c:f>
              <c:strCache>
                <c:ptCount val="1"/>
                <c:pt idx="0">
                  <c:v>FAIL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TABLE'!$H$7:$H$19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TABLE'!$I$7:$I$19</c:f>
              <c:numCache>
                <c:formatCode>General</c:formatCode>
                <c:ptCount val="12"/>
                <c:pt idx="0">
                  <c:v>6</c:v>
                </c:pt>
                <c:pt idx="1">
                  <c:v>5</c:v>
                </c:pt>
                <c:pt idx="2">
                  <c:v>5</c:v>
                </c:pt>
                <c:pt idx="3">
                  <c:v>4</c:v>
                </c:pt>
                <c:pt idx="4">
                  <c:v>3</c:v>
                </c:pt>
                <c:pt idx="5">
                  <c:v>4</c:v>
                </c:pt>
                <c:pt idx="6">
                  <c:v>4</c:v>
                </c:pt>
                <c:pt idx="7">
                  <c:v>4</c:v>
                </c:pt>
                <c:pt idx="8">
                  <c:v>2</c:v>
                </c:pt>
                <c:pt idx="9">
                  <c:v>3</c:v>
                </c:pt>
                <c:pt idx="10">
                  <c:v>3</c:v>
                </c:pt>
                <c:pt idx="11">
                  <c:v>2</c:v>
                </c:pt>
              </c:numCache>
            </c:numRef>
          </c:val>
          <c:smooth val="0"/>
          <c:extLst>
            <c:ext xmlns:c16="http://schemas.microsoft.com/office/drawing/2014/chart" uri="{C3380CC4-5D6E-409C-BE32-E72D297353CC}">
              <c16:uniqueId val="{00000000-FE90-4005-99C6-0D36304261BC}"/>
            </c:ext>
          </c:extLst>
        </c:ser>
        <c:dLbls>
          <c:showLegendKey val="0"/>
          <c:showVal val="0"/>
          <c:showCatName val="0"/>
          <c:showSerName val="0"/>
          <c:showPercent val="0"/>
          <c:showBubbleSize val="0"/>
        </c:dLbls>
        <c:marker val="1"/>
        <c:smooth val="0"/>
        <c:axId val="1080807536"/>
        <c:axId val="1080812336"/>
      </c:lineChart>
      <c:catAx>
        <c:axId val="108080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812336"/>
        <c:crosses val="autoZero"/>
        <c:auto val="1"/>
        <c:lblAlgn val="ctr"/>
        <c:lblOffset val="100"/>
        <c:noMultiLvlLbl val="0"/>
      </c:catAx>
      <c:valAx>
        <c:axId val="1080812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80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[NGL QUALITY WORKSHEET .xlsx]PIVOT TABLE!PivotTable8</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TABLE'!$L$2:$L$3</c:f>
              <c:strCache>
                <c:ptCount val="1"/>
                <c:pt idx="0">
                  <c:v>FAIL</c:v>
                </c:pt>
              </c:strCache>
            </c:strRef>
          </c:tx>
          <c:spPr>
            <a:solidFill>
              <a:schemeClr val="accent1"/>
            </a:solidFill>
            <a:ln>
              <a:noFill/>
            </a:ln>
            <a:effectLst/>
          </c:spPr>
          <c:invertIfNegative val="0"/>
          <c:cat>
            <c:strRef>
              <c:f>'PIVOT TABLE'!$K$4:$K$6</c:f>
              <c:strCache>
                <c:ptCount val="2"/>
                <c:pt idx="0">
                  <c:v>Butane</c:v>
                </c:pt>
                <c:pt idx="1">
                  <c:v>LPG</c:v>
                </c:pt>
              </c:strCache>
            </c:strRef>
          </c:cat>
          <c:val>
            <c:numRef>
              <c:f>'PIVOT TABLE'!$L$4:$L$6</c:f>
              <c:numCache>
                <c:formatCode>General</c:formatCode>
                <c:ptCount val="2"/>
                <c:pt idx="0">
                  <c:v>10</c:v>
                </c:pt>
                <c:pt idx="1">
                  <c:v>35</c:v>
                </c:pt>
              </c:numCache>
            </c:numRef>
          </c:val>
          <c:extLst>
            <c:ext xmlns:c16="http://schemas.microsoft.com/office/drawing/2014/chart" uri="{C3380CC4-5D6E-409C-BE32-E72D297353CC}">
              <c16:uniqueId val="{00000000-6AEA-446D-B4FB-AE2A3035138F}"/>
            </c:ext>
          </c:extLst>
        </c:ser>
        <c:dLbls>
          <c:showLegendKey val="0"/>
          <c:showVal val="0"/>
          <c:showCatName val="0"/>
          <c:showSerName val="0"/>
          <c:showPercent val="0"/>
          <c:showBubbleSize val="0"/>
        </c:dLbls>
        <c:gapWidth val="182"/>
        <c:axId val="1080846896"/>
        <c:axId val="1080825776"/>
      </c:barChart>
      <c:catAx>
        <c:axId val="108084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825776"/>
        <c:crosses val="autoZero"/>
        <c:auto val="1"/>
        <c:lblAlgn val="ctr"/>
        <c:lblOffset val="100"/>
        <c:noMultiLvlLbl val="0"/>
      </c:catAx>
      <c:valAx>
        <c:axId val="1080825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0846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[NGL QUALITY WORKSHEET .xlsx]PIVOT TABLE!PivotTable1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TABLE'!$B$3:$B$4</c:f>
              <c:strCache>
                <c:ptCount val="1"/>
                <c:pt idx="0">
                  <c:v>FAIL</c:v>
                </c:pt>
              </c:strCache>
            </c:strRef>
          </c:tx>
          <c:spPr>
            <a:solidFill>
              <a:schemeClr val="accent1"/>
            </a:solidFill>
            <a:ln>
              <a:noFill/>
            </a:ln>
            <a:effectLst/>
          </c:spPr>
          <c:invertIfNegative val="0"/>
          <c:cat>
            <c:strRef>
              <c:f>'PIVOT 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TABLE'!$B$5:$B$17</c:f>
              <c:numCache>
                <c:formatCode>General</c:formatCode>
                <c:ptCount val="12"/>
                <c:pt idx="0">
                  <c:v>6</c:v>
                </c:pt>
                <c:pt idx="1">
                  <c:v>5</c:v>
                </c:pt>
                <c:pt idx="2">
                  <c:v>5</c:v>
                </c:pt>
                <c:pt idx="3">
                  <c:v>4</c:v>
                </c:pt>
                <c:pt idx="4">
                  <c:v>3</c:v>
                </c:pt>
                <c:pt idx="5">
                  <c:v>4</c:v>
                </c:pt>
                <c:pt idx="6">
                  <c:v>4</c:v>
                </c:pt>
                <c:pt idx="7">
                  <c:v>4</c:v>
                </c:pt>
                <c:pt idx="8">
                  <c:v>2</c:v>
                </c:pt>
                <c:pt idx="9">
                  <c:v>3</c:v>
                </c:pt>
                <c:pt idx="10">
                  <c:v>3</c:v>
                </c:pt>
                <c:pt idx="11">
                  <c:v>2</c:v>
                </c:pt>
              </c:numCache>
            </c:numRef>
          </c:val>
          <c:extLst>
            <c:ext xmlns:c16="http://schemas.microsoft.com/office/drawing/2014/chart" uri="{C3380CC4-5D6E-409C-BE32-E72D297353CC}">
              <c16:uniqueId val="{00000000-C66A-43E0-B3A7-8300C64E2413}"/>
            </c:ext>
          </c:extLst>
        </c:ser>
        <c:ser>
          <c:idx val="1"/>
          <c:order val="1"/>
          <c:tx>
            <c:strRef>
              <c:f>'PIVOT TABLE'!$C$3:$C$4</c:f>
              <c:strCache>
                <c:ptCount val="1"/>
                <c:pt idx="0">
                  <c:v>PASS</c:v>
                </c:pt>
              </c:strCache>
            </c:strRef>
          </c:tx>
          <c:spPr>
            <a:solidFill>
              <a:schemeClr val="accent2"/>
            </a:solidFill>
            <a:ln>
              <a:noFill/>
            </a:ln>
            <a:effectLst/>
          </c:spPr>
          <c:invertIfNegative val="0"/>
          <c:cat>
            <c:strRef>
              <c:f>'PIVOT 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TABLE'!$C$5:$C$17</c:f>
              <c:numCache>
                <c:formatCode>General</c:formatCode>
                <c:ptCount val="12"/>
                <c:pt idx="0">
                  <c:v>9</c:v>
                </c:pt>
                <c:pt idx="1">
                  <c:v>10</c:v>
                </c:pt>
                <c:pt idx="2">
                  <c:v>10</c:v>
                </c:pt>
                <c:pt idx="3">
                  <c:v>11</c:v>
                </c:pt>
                <c:pt idx="4">
                  <c:v>12</c:v>
                </c:pt>
                <c:pt idx="5">
                  <c:v>11</c:v>
                </c:pt>
                <c:pt idx="6">
                  <c:v>6</c:v>
                </c:pt>
                <c:pt idx="7">
                  <c:v>6</c:v>
                </c:pt>
                <c:pt idx="8">
                  <c:v>8</c:v>
                </c:pt>
                <c:pt idx="9">
                  <c:v>7</c:v>
                </c:pt>
                <c:pt idx="10">
                  <c:v>7</c:v>
                </c:pt>
                <c:pt idx="11">
                  <c:v>8</c:v>
                </c:pt>
              </c:numCache>
            </c:numRef>
          </c:val>
          <c:extLst>
            <c:ext xmlns:c16="http://schemas.microsoft.com/office/drawing/2014/chart" uri="{C3380CC4-5D6E-409C-BE32-E72D297353CC}">
              <c16:uniqueId val="{00000001-C66A-43E0-B3A7-8300C64E2413}"/>
            </c:ext>
          </c:extLst>
        </c:ser>
        <c:dLbls>
          <c:showLegendKey val="0"/>
          <c:showVal val="0"/>
          <c:showCatName val="0"/>
          <c:showSerName val="0"/>
          <c:showPercent val="0"/>
          <c:showBubbleSize val="0"/>
        </c:dLbls>
        <c:gapWidth val="150"/>
        <c:overlap val="100"/>
        <c:axId val="191127423"/>
        <c:axId val="191127903"/>
      </c:barChart>
      <c:catAx>
        <c:axId val="19112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7903"/>
        <c:crosses val="autoZero"/>
        <c:auto val="1"/>
        <c:lblAlgn val="ctr"/>
        <c:lblOffset val="100"/>
        <c:noMultiLvlLbl val="0"/>
      </c:catAx>
      <c:valAx>
        <c:axId val="19112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12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[NGL QUALITY WORKSHEET .xlsx]PIVOT TABLE!PivotTable4</c:name>
    <c:fmtId val="11"/>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AVERAGE PROPANE% OVER TIME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430283171125338E-2"/>
          <c:y val="0.2202779737024429"/>
          <c:w val="0.92356971682887468"/>
          <c:h val="0.50378681989202179"/>
        </c:manualLayout>
      </c:layout>
      <c:lineChart>
        <c:grouping val="stacked"/>
        <c:varyColors val="0"/>
        <c:ser>
          <c:idx val="0"/>
          <c:order val="0"/>
          <c:tx>
            <c:strRef>
              <c:f>'PIVOT TABLE'!$G$2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 TABLE'!$F$3:$F$36</c:f>
              <c:multiLvlStrCache>
                <c:ptCount val="3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lvl>
                <c:lvl>
                  <c:pt idx="0">
                    <c:v>2024</c:v>
                  </c:pt>
                  <c:pt idx="12">
                    <c:v>2025</c:v>
                  </c:pt>
                  <c:pt idx="24">
                    <c:v>2026</c:v>
                  </c:pt>
                </c:lvl>
              </c:multiLvlStrCache>
            </c:multiLvlStrRef>
          </c:cat>
          <c:val>
            <c:numRef>
              <c:f>'PIVOT TABLE'!$G$3:$G$36</c:f>
              <c:numCache>
                <c:formatCode>General</c:formatCode>
                <c:ptCount val="30"/>
                <c:pt idx="0">
                  <c:v>9.3000000000000007</c:v>
                </c:pt>
                <c:pt idx="1">
                  <c:v>9.1419999999999995</c:v>
                </c:pt>
                <c:pt idx="2">
                  <c:v>10.112</c:v>
                </c:pt>
                <c:pt idx="3">
                  <c:v>10.326000000000001</c:v>
                </c:pt>
                <c:pt idx="4">
                  <c:v>8.8219999999999992</c:v>
                </c:pt>
                <c:pt idx="5">
                  <c:v>13.532</c:v>
                </c:pt>
                <c:pt idx="6">
                  <c:v>11.686</c:v>
                </c:pt>
                <c:pt idx="7">
                  <c:v>11.45</c:v>
                </c:pt>
                <c:pt idx="8">
                  <c:v>7.6679999999999993</c:v>
                </c:pt>
                <c:pt idx="9">
                  <c:v>11.63</c:v>
                </c:pt>
                <c:pt idx="10">
                  <c:v>8.6840000000000011</c:v>
                </c:pt>
                <c:pt idx="11">
                  <c:v>11.27</c:v>
                </c:pt>
                <c:pt idx="12">
                  <c:v>11.129999999999999</c:v>
                </c:pt>
                <c:pt idx="13">
                  <c:v>9.6440000000000019</c:v>
                </c:pt>
                <c:pt idx="14">
                  <c:v>11.903999999999998</c:v>
                </c:pt>
                <c:pt idx="15">
                  <c:v>8.0839999999999996</c:v>
                </c:pt>
                <c:pt idx="16">
                  <c:v>9.7420000000000009</c:v>
                </c:pt>
                <c:pt idx="17">
                  <c:v>11.618000000000002</c:v>
                </c:pt>
                <c:pt idx="18">
                  <c:v>9.9439999999999991</c:v>
                </c:pt>
                <c:pt idx="19">
                  <c:v>10.035999999999998</c:v>
                </c:pt>
                <c:pt idx="20">
                  <c:v>10.587999999999999</c:v>
                </c:pt>
                <c:pt idx="21">
                  <c:v>13.462</c:v>
                </c:pt>
                <c:pt idx="22">
                  <c:v>12.56</c:v>
                </c:pt>
                <c:pt idx="23">
                  <c:v>10.66</c:v>
                </c:pt>
                <c:pt idx="24">
                  <c:v>12.106</c:v>
                </c:pt>
                <c:pt idx="25">
                  <c:v>9.581999999999999</c:v>
                </c:pt>
                <c:pt idx="26">
                  <c:v>8.4619999999999997</c:v>
                </c:pt>
                <c:pt idx="27">
                  <c:v>11.056000000000001</c:v>
                </c:pt>
                <c:pt idx="28">
                  <c:v>10.370000000000001</c:v>
                </c:pt>
                <c:pt idx="29">
                  <c:v>9.8339999999999996</c:v>
                </c:pt>
              </c:numCache>
            </c:numRef>
          </c:val>
          <c:smooth val="0"/>
          <c:extLst>
            <c:ext xmlns:c16="http://schemas.microsoft.com/office/drawing/2014/chart" uri="{C3380CC4-5D6E-409C-BE32-E72D297353CC}">
              <c16:uniqueId val="{00000000-B83F-440E-961F-8C425BF638C0}"/>
            </c:ext>
          </c:extLst>
        </c:ser>
        <c:dLbls>
          <c:showLegendKey val="0"/>
          <c:showVal val="0"/>
          <c:showCatName val="0"/>
          <c:showSerName val="0"/>
          <c:showPercent val="0"/>
          <c:showBubbleSize val="0"/>
        </c:dLbls>
        <c:marker val="1"/>
        <c:smooth val="0"/>
        <c:axId val="1229062384"/>
        <c:axId val="1229038864"/>
      </c:lineChart>
      <c:catAx>
        <c:axId val="1229062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29038864"/>
        <c:crosses val="autoZero"/>
        <c:auto val="1"/>
        <c:lblAlgn val="ctr"/>
        <c:lblOffset val="100"/>
        <c:noMultiLvlLbl val="0"/>
      </c:catAx>
      <c:valAx>
        <c:axId val="12290388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29062384"/>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[NGL QUALITY WORKSHEET .xlsx]PIVOT TABLE!PivotTable1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t>PASS/FAIL RATE DISTRIBUTION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TABLE'!$B$3:$B$4</c:f>
              <c:strCache>
                <c:ptCount val="1"/>
                <c:pt idx="0">
                  <c:v>FAIL</c:v>
                </c:pt>
              </c:strCache>
            </c:strRef>
          </c:tx>
          <c:spPr>
            <a:solidFill>
              <a:schemeClr val="accent1"/>
            </a:solidFill>
            <a:ln>
              <a:noFill/>
            </a:ln>
            <a:effectLst/>
          </c:spPr>
          <c:invertIfNegative val="0"/>
          <c:cat>
            <c:strRef>
              <c:f>'PIVOT 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TABLE'!$B$5:$B$17</c:f>
              <c:numCache>
                <c:formatCode>General</c:formatCode>
                <c:ptCount val="12"/>
                <c:pt idx="0">
                  <c:v>6</c:v>
                </c:pt>
                <c:pt idx="1">
                  <c:v>5</c:v>
                </c:pt>
                <c:pt idx="2">
                  <c:v>5</c:v>
                </c:pt>
                <c:pt idx="3">
                  <c:v>4</c:v>
                </c:pt>
                <c:pt idx="4">
                  <c:v>3</c:v>
                </c:pt>
                <c:pt idx="5">
                  <c:v>4</c:v>
                </c:pt>
                <c:pt idx="6">
                  <c:v>4</c:v>
                </c:pt>
                <c:pt idx="7">
                  <c:v>4</c:v>
                </c:pt>
                <c:pt idx="8">
                  <c:v>2</c:v>
                </c:pt>
                <c:pt idx="9">
                  <c:v>3</c:v>
                </c:pt>
                <c:pt idx="10">
                  <c:v>3</c:v>
                </c:pt>
                <c:pt idx="11">
                  <c:v>2</c:v>
                </c:pt>
              </c:numCache>
            </c:numRef>
          </c:val>
          <c:extLst>
            <c:ext xmlns:c16="http://schemas.microsoft.com/office/drawing/2014/chart" uri="{C3380CC4-5D6E-409C-BE32-E72D297353CC}">
              <c16:uniqueId val="{00000000-C84F-4962-B7E9-DE1D75CD5350}"/>
            </c:ext>
          </c:extLst>
        </c:ser>
        <c:ser>
          <c:idx val="1"/>
          <c:order val="1"/>
          <c:tx>
            <c:strRef>
              <c:f>'PIVOT TABLE'!$C$3:$C$4</c:f>
              <c:strCache>
                <c:ptCount val="1"/>
                <c:pt idx="0">
                  <c:v>PASS</c:v>
                </c:pt>
              </c:strCache>
            </c:strRef>
          </c:tx>
          <c:spPr>
            <a:solidFill>
              <a:schemeClr val="accent4">
                <a:lumMod val="75000"/>
              </a:schemeClr>
            </a:solidFill>
            <a:ln>
              <a:noFill/>
            </a:ln>
            <a:effectLst/>
          </c:spPr>
          <c:invertIfNegative val="0"/>
          <c:cat>
            <c:strRef>
              <c:f>'PIVOT TABLE'!$A$5:$A$17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TABLE'!$C$5:$C$17</c:f>
              <c:numCache>
                <c:formatCode>General</c:formatCode>
                <c:ptCount val="12"/>
                <c:pt idx="0">
                  <c:v>9</c:v>
                </c:pt>
                <c:pt idx="1">
                  <c:v>10</c:v>
                </c:pt>
                <c:pt idx="2">
                  <c:v>10</c:v>
                </c:pt>
                <c:pt idx="3">
                  <c:v>11</c:v>
                </c:pt>
                <c:pt idx="4">
                  <c:v>12</c:v>
                </c:pt>
                <c:pt idx="5">
                  <c:v>11</c:v>
                </c:pt>
                <c:pt idx="6">
                  <c:v>6</c:v>
                </c:pt>
                <c:pt idx="7">
                  <c:v>6</c:v>
                </c:pt>
                <c:pt idx="8">
                  <c:v>8</c:v>
                </c:pt>
                <c:pt idx="9">
                  <c:v>7</c:v>
                </c:pt>
                <c:pt idx="10">
                  <c:v>7</c:v>
                </c:pt>
                <c:pt idx="11">
                  <c:v>8</c:v>
                </c:pt>
              </c:numCache>
            </c:numRef>
          </c:val>
          <c:extLst>
            <c:ext xmlns:c16="http://schemas.microsoft.com/office/drawing/2014/chart" uri="{C3380CC4-5D6E-409C-BE32-E72D297353CC}">
              <c16:uniqueId val="{00000001-C84F-4962-B7E9-DE1D75CD5350}"/>
            </c:ext>
          </c:extLst>
        </c:ser>
        <c:dLbls>
          <c:showLegendKey val="0"/>
          <c:showVal val="0"/>
          <c:showCatName val="0"/>
          <c:showSerName val="0"/>
          <c:showPercent val="0"/>
          <c:showBubbleSize val="0"/>
        </c:dLbls>
        <c:gapWidth val="150"/>
        <c:overlap val="100"/>
        <c:axId val="191127423"/>
        <c:axId val="191127903"/>
      </c:barChart>
      <c:catAx>
        <c:axId val="191127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1127903"/>
        <c:crosses val="autoZero"/>
        <c:auto val="1"/>
        <c:lblAlgn val="ctr"/>
        <c:lblOffset val="100"/>
        <c:noMultiLvlLbl val="0"/>
      </c:catAx>
      <c:valAx>
        <c:axId val="191127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1127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[NGL QUALITY WORKSHEET .xlsx]PIVOT TABLE!PivotTable8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500" b="1"/>
              <a:t>FAILURE RATE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TABLE'!$L$2:$L$3</c:f>
              <c:strCache>
                <c:ptCount val="1"/>
                <c:pt idx="0">
                  <c:v>FAIL</c:v>
                </c:pt>
              </c:strCache>
            </c:strRef>
          </c:tx>
          <c:spPr>
            <a:solidFill>
              <a:schemeClr val="accent3"/>
            </a:solidFill>
            <a:ln>
              <a:noFill/>
            </a:ln>
            <a:effectLst/>
          </c:spPr>
          <c:invertIfNegative val="0"/>
          <c:cat>
            <c:strRef>
              <c:f>'PIVOT TABLE'!$K$4:$K$6</c:f>
              <c:strCache>
                <c:ptCount val="2"/>
                <c:pt idx="0">
                  <c:v>Butane</c:v>
                </c:pt>
                <c:pt idx="1">
                  <c:v>LPG</c:v>
                </c:pt>
              </c:strCache>
            </c:strRef>
          </c:cat>
          <c:val>
            <c:numRef>
              <c:f>'PIVOT TABLE'!$L$4:$L$6</c:f>
              <c:numCache>
                <c:formatCode>General</c:formatCode>
                <c:ptCount val="2"/>
                <c:pt idx="0">
                  <c:v>10</c:v>
                </c:pt>
                <c:pt idx="1">
                  <c:v>35</c:v>
                </c:pt>
              </c:numCache>
            </c:numRef>
          </c:val>
          <c:extLst>
            <c:ext xmlns:c16="http://schemas.microsoft.com/office/drawing/2014/chart" uri="{C3380CC4-5D6E-409C-BE32-E72D297353CC}">
              <c16:uniqueId val="{00000000-8C28-4E4C-850C-BFBBBA713A49}"/>
            </c:ext>
          </c:extLst>
        </c:ser>
        <c:dLbls>
          <c:showLegendKey val="0"/>
          <c:showVal val="0"/>
          <c:showCatName val="0"/>
          <c:showSerName val="0"/>
          <c:showPercent val="0"/>
          <c:showBubbleSize val="0"/>
        </c:dLbls>
        <c:gapWidth val="182"/>
        <c:axId val="1080846896"/>
        <c:axId val="1080825776"/>
      </c:barChart>
      <c:catAx>
        <c:axId val="10808468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080825776"/>
        <c:crosses val="autoZero"/>
        <c:auto val="1"/>
        <c:lblAlgn val="ctr"/>
        <c:lblOffset val="100"/>
        <c:noMultiLvlLbl val="0"/>
      </c:catAx>
      <c:valAx>
        <c:axId val="1080825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08084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[NGL QUALITY WORKSHEET .xlsx]PIVOT TABLE!PivotTable3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ANNUAL PASS RATE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TABLE'!$L$13:$L$14</c:f>
              <c:strCache>
                <c:ptCount val="1"/>
                <c:pt idx="0">
                  <c:v>PASS</c:v>
                </c:pt>
              </c:strCache>
            </c:strRef>
          </c:tx>
          <c:spPr>
            <a:solidFill>
              <a:schemeClr val="accent3"/>
            </a:solidFill>
            <a:ln>
              <a:noFill/>
            </a:ln>
            <a:effectLst/>
          </c:spPr>
          <c:invertIfNegative val="0"/>
          <c:cat>
            <c:strRef>
              <c:f>'PIVOT TABLE'!$K$15:$K$18</c:f>
              <c:strCache>
                <c:ptCount val="3"/>
                <c:pt idx="0">
                  <c:v>2024</c:v>
                </c:pt>
                <c:pt idx="1">
                  <c:v>2025</c:v>
                </c:pt>
                <c:pt idx="2">
                  <c:v>2026</c:v>
                </c:pt>
              </c:strCache>
            </c:strRef>
          </c:cat>
          <c:val>
            <c:numRef>
              <c:f>'PIVOT TABLE'!$L$15:$L$18</c:f>
              <c:numCache>
                <c:formatCode>General</c:formatCode>
                <c:ptCount val="3"/>
                <c:pt idx="0">
                  <c:v>42</c:v>
                </c:pt>
                <c:pt idx="1">
                  <c:v>41</c:v>
                </c:pt>
                <c:pt idx="2">
                  <c:v>22</c:v>
                </c:pt>
              </c:numCache>
            </c:numRef>
          </c:val>
          <c:extLst>
            <c:ext xmlns:c16="http://schemas.microsoft.com/office/drawing/2014/chart" uri="{C3380CC4-5D6E-409C-BE32-E72D297353CC}">
              <c16:uniqueId val="{00000000-6CF7-4E28-9676-CEEA4D621EF5}"/>
            </c:ext>
          </c:extLst>
        </c:ser>
        <c:dLbls>
          <c:showLegendKey val="0"/>
          <c:showVal val="0"/>
          <c:showCatName val="0"/>
          <c:showSerName val="0"/>
          <c:showPercent val="0"/>
          <c:showBubbleSize val="0"/>
        </c:dLbls>
        <c:gapWidth val="150"/>
        <c:overlap val="100"/>
        <c:axId val="108708447"/>
        <c:axId val="108720927"/>
      </c:barChart>
      <c:catAx>
        <c:axId val="108708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08720927"/>
        <c:crosses val="autoZero"/>
        <c:auto val="1"/>
        <c:lblAlgn val="ctr"/>
        <c:lblOffset val="100"/>
        <c:noMultiLvlLbl val="0"/>
      </c:catAx>
      <c:valAx>
        <c:axId val="10872092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8708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[NGL QUALITY WORKSHEET .xlsx]PIVOT TABLE!PivotTable6</c:name>
    <c:fmtId val="8"/>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TOP FAILING PARAMETERS</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TABLE'!$A$20</c:f>
              <c:strCache>
                <c:ptCount val="1"/>
                <c:pt idx="0">
                  <c:v>Sum of PROPANE FAIL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c:f>
              <c:strCache>
                <c:ptCount val="1"/>
                <c:pt idx="0">
                  <c:v>Total</c:v>
                </c:pt>
              </c:strCache>
            </c:strRef>
          </c:cat>
          <c:val>
            <c:numRef>
              <c:f>'PIVOT TABLE'!$A$21</c:f>
              <c:numCache>
                <c:formatCode>General</c:formatCode>
                <c:ptCount val="1"/>
                <c:pt idx="0">
                  <c:v>5</c:v>
                </c:pt>
              </c:numCache>
            </c:numRef>
          </c:val>
          <c:extLst>
            <c:ext xmlns:c16="http://schemas.microsoft.com/office/drawing/2014/chart" uri="{C3380CC4-5D6E-409C-BE32-E72D297353CC}">
              <c16:uniqueId val="{00000000-7E25-469B-A30F-14C1C6A98F83}"/>
            </c:ext>
          </c:extLst>
        </c:ser>
        <c:ser>
          <c:idx val="1"/>
          <c:order val="1"/>
          <c:tx>
            <c:strRef>
              <c:f>'PIVOT TABLE'!$B$20</c:f>
              <c:strCache>
                <c:ptCount val="1"/>
                <c:pt idx="0">
                  <c:v>Sum of ISOBUTANE FAIL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c:f>
              <c:strCache>
                <c:ptCount val="1"/>
                <c:pt idx="0">
                  <c:v>Total</c:v>
                </c:pt>
              </c:strCache>
            </c:strRef>
          </c:cat>
          <c:val>
            <c:numRef>
              <c:f>'PIVOT TABLE'!$B$21</c:f>
              <c:numCache>
                <c:formatCode>General</c:formatCode>
                <c:ptCount val="1"/>
                <c:pt idx="0">
                  <c:v>0</c:v>
                </c:pt>
              </c:numCache>
            </c:numRef>
          </c:val>
          <c:extLst>
            <c:ext xmlns:c16="http://schemas.microsoft.com/office/drawing/2014/chart" uri="{C3380CC4-5D6E-409C-BE32-E72D297353CC}">
              <c16:uniqueId val="{00000001-7E25-469B-A30F-14C1C6A98F83}"/>
            </c:ext>
          </c:extLst>
        </c:ser>
        <c:ser>
          <c:idx val="2"/>
          <c:order val="2"/>
          <c:tx>
            <c:strRef>
              <c:f>'PIVOT TABLE'!$C$20</c:f>
              <c:strCache>
                <c:ptCount val="1"/>
                <c:pt idx="0">
                  <c:v>Sum of n BUTANE FAIL</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c:f>
              <c:strCache>
                <c:ptCount val="1"/>
                <c:pt idx="0">
                  <c:v>Total</c:v>
                </c:pt>
              </c:strCache>
            </c:strRef>
          </c:cat>
          <c:val>
            <c:numRef>
              <c:f>'PIVOT TABLE'!$C$21</c:f>
              <c:numCache>
                <c:formatCode>General</c:formatCode>
                <c:ptCount val="1"/>
                <c:pt idx="0">
                  <c:v>5</c:v>
                </c:pt>
              </c:numCache>
            </c:numRef>
          </c:val>
          <c:extLst>
            <c:ext xmlns:c16="http://schemas.microsoft.com/office/drawing/2014/chart" uri="{C3380CC4-5D6E-409C-BE32-E72D297353CC}">
              <c16:uniqueId val="{00000002-7E25-469B-A30F-14C1C6A98F83}"/>
            </c:ext>
          </c:extLst>
        </c:ser>
        <c:ser>
          <c:idx val="3"/>
          <c:order val="3"/>
          <c:tx>
            <c:strRef>
              <c:f>'PIVOT TABLE'!$D$20</c:f>
              <c:strCache>
                <c:ptCount val="1"/>
                <c:pt idx="0">
                  <c:v>Sum of VAPOUR PRESSURE FAIL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c:f>
              <c:strCache>
                <c:ptCount val="1"/>
                <c:pt idx="0">
                  <c:v>Total</c:v>
                </c:pt>
              </c:strCache>
            </c:strRef>
          </c:cat>
          <c:val>
            <c:numRef>
              <c:f>'PIVOT TABLE'!$D$21</c:f>
              <c:numCache>
                <c:formatCode>General</c:formatCode>
                <c:ptCount val="1"/>
                <c:pt idx="0">
                  <c:v>0</c:v>
                </c:pt>
              </c:numCache>
            </c:numRef>
          </c:val>
          <c:extLst>
            <c:ext xmlns:c16="http://schemas.microsoft.com/office/drawing/2014/chart" uri="{C3380CC4-5D6E-409C-BE32-E72D297353CC}">
              <c16:uniqueId val="{00000003-7E25-469B-A30F-14C1C6A98F83}"/>
            </c:ext>
          </c:extLst>
        </c:ser>
        <c:ser>
          <c:idx val="4"/>
          <c:order val="4"/>
          <c:tx>
            <c:strRef>
              <c:f>'PIVOT TABLE'!$E$20</c:f>
              <c:strCache>
                <c:ptCount val="1"/>
                <c:pt idx="0">
                  <c:v>Sum of DENSITY FAIL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TABLE'!$A$21</c:f>
              <c:strCache>
                <c:ptCount val="1"/>
                <c:pt idx="0">
                  <c:v>Total</c:v>
                </c:pt>
              </c:strCache>
            </c:strRef>
          </c:cat>
          <c:val>
            <c:numRef>
              <c:f>'PIVOT TABLE'!$E$21</c:f>
              <c:numCache>
                <c:formatCode>General</c:formatCode>
                <c:ptCount val="1"/>
                <c:pt idx="0">
                  <c:v>36</c:v>
                </c:pt>
              </c:numCache>
            </c:numRef>
          </c:val>
          <c:extLst>
            <c:ext xmlns:c16="http://schemas.microsoft.com/office/drawing/2014/chart" uri="{C3380CC4-5D6E-409C-BE32-E72D297353CC}">
              <c16:uniqueId val="{00000004-7E25-469B-A30F-14C1C6A98F83}"/>
            </c:ext>
          </c:extLst>
        </c:ser>
        <c:dLbls>
          <c:dLblPos val="outEnd"/>
          <c:showLegendKey val="0"/>
          <c:showVal val="1"/>
          <c:showCatName val="0"/>
          <c:showSerName val="0"/>
          <c:showPercent val="0"/>
          <c:showBubbleSize val="0"/>
        </c:dLbls>
        <c:gapWidth val="219"/>
        <c:overlap val="-27"/>
        <c:axId val="191138943"/>
        <c:axId val="191144703"/>
      </c:barChart>
      <c:catAx>
        <c:axId val="191138943"/>
        <c:scaling>
          <c:orientation val="minMax"/>
        </c:scaling>
        <c:delete val="1"/>
        <c:axPos val="b"/>
        <c:numFmt formatCode="General" sourceLinked="1"/>
        <c:majorTickMark val="none"/>
        <c:minorTickMark val="none"/>
        <c:tickLblPos val="nextTo"/>
        <c:crossAx val="191144703"/>
        <c:crosses val="autoZero"/>
        <c:auto val="1"/>
        <c:lblAlgn val="ctr"/>
        <c:lblOffset val="100"/>
        <c:noMultiLvlLbl val="0"/>
      </c:catAx>
      <c:valAx>
        <c:axId val="1911447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11389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[NGL QUALITY WORKSHEET .xlsx]PIVOT TABLE!PivotTable9</c:name>
    <c:fmtId val="1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t>MONTHLY FAILURE VOLUME</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TABLE'!$I$5:$I$6</c:f>
              <c:strCache>
                <c:ptCount val="1"/>
                <c:pt idx="0">
                  <c:v>FAIL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TABLE'!$H$7:$H$19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TABLE'!$I$7:$I$19</c:f>
              <c:numCache>
                <c:formatCode>General</c:formatCode>
                <c:ptCount val="12"/>
                <c:pt idx="0">
                  <c:v>6</c:v>
                </c:pt>
                <c:pt idx="1">
                  <c:v>5</c:v>
                </c:pt>
                <c:pt idx="2">
                  <c:v>5</c:v>
                </c:pt>
                <c:pt idx="3">
                  <c:v>4</c:v>
                </c:pt>
                <c:pt idx="4">
                  <c:v>3</c:v>
                </c:pt>
                <c:pt idx="5">
                  <c:v>4</c:v>
                </c:pt>
                <c:pt idx="6">
                  <c:v>4</c:v>
                </c:pt>
                <c:pt idx="7">
                  <c:v>4</c:v>
                </c:pt>
                <c:pt idx="8">
                  <c:v>2</c:v>
                </c:pt>
                <c:pt idx="9">
                  <c:v>3</c:v>
                </c:pt>
                <c:pt idx="10">
                  <c:v>3</c:v>
                </c:pt>
                <c:pt idx="11">
                  <c:v>2</c:v>
                </c:pt>
              </c:numCache>
            </c:numRef>
          </c:val>
          <c:smooth val="0"/>
          <c:extLst>
            <c:ext xmlns:c16="http://schemas.microsoft.com/office/drawing/2014/chart" uri="{C3380CC4-5D6E-409C-BE32-E72D297353CC}">
              <c16:uniqueId val="{00000000-14B8-4B54-AFFF-DC9FE2944AF6}"/>
            </c:ext>
          </c:extLst>
        </c:ser>
        <c:dLbls>
          <c:showLegendKey val="0"/>
          <c:showVal val="0"/>
          <c:showCatName val="0"/>
          <c:showSerName val="0"/>
          <c:showPercent val="0"/>
          <c:showBubbleSize val="0"/>
        </c:dLbls>
        <c:marker val="1"/>
        <c:smooth val="0"/>
        <c:axId val="1080807536"/>
        <c:axId val="1080812336"/>
      </c:lineChart>
      <c:catAx>
        <c:axId val="1080807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80812336"/>
        <c:crosses val="autoZero"/>
        <c:auto val="1"/>
        <c:lblAlgn val="ctr"/>
        <c:lblOffset val="100"/>
        <c:noMultiLvlLbl val="0"/>
      </c:catAx>
      <c:valAx>
        <c:axId val="1080812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080807536"/>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11.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10.xml"/><Relationship Id="rId2" Type="http://schemas.openxmlformats.org/officeDocument/2006/relationships/image" Target="../media/image1.png"/><Relationship Id="rId1" Type="http://schemas.openxmlformats.org/officeDocument/2006/relationships/chart" Target="../charts/chart7.xml"/><Relationship Id="rId6" Type="http://schemas.openxmlformats.org/officeDocument/2006/relationships/image" Target="../media/image5.png"/><Relationship Id="rId11" Type="http://schemas.openxmlformats.org/officeDocument/2006/relationships/chart" Target="../charts/chart9.xml"/><Relationship Id="rId5" Type="http://schemas.openxmlformats.org/officeDocument/2006/relationships/image" Target="../media/image4.svg"/><Relationship Id="rId10" Type="http://schemas.openxmlformats.org/officeDocument/2006/relationships/chart" Target="../charts/chart8.xml"/><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8</xdr:col>
      <xdr:colOff>0</xdr:colOff>
      <xdr:row>0</xdr:row>
      <xdr:rowOff>0</xdr:rowOff>
    </xdr:from>
    <xdr:to>
      <xdr:col>13</xdr:col>
      <xdr:colOff>444500</xdr:colOff>
      <xdr:row>11</xdr:row>
      <xdr:rowOff>101600</xdr:rowOff>
    </xdr:to>
    <xdr:graphicFrame macro="">
      <xdr:nvGraphicFramePr>
        <xdr:cNvPr id="3" name="Chart 2">
          <a:extLst>
            <a:ext uri="{FF2B5EF4-FFF2-40B4-BE49-F238E27FC236}">
              <a16:creationId xmlns:a16="http://schemas.microsoft.com/office/drawing/2014/main" id="{739D2AE2-569D-494E-8FF3-9E0394553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108857</xdr:colOff>
      <xdr:row>16</xdr:row>
      <xdr:rowOff>39007</xdr:rowOff>
    </xdr:from>
    <xdr:to>
      <xdr:col>7</xdr:col>
      <xdr:colOff>585107</xdr:colOff>
      <xdr:row>29</xdr:row>
      <xdr:rowOff>127906</xdr:rowOff>
    </xdr:to>
    <xdr:graphicFrame macro="">
      <xdr:nvGraphicFramePr>
        <xdr:cNvPr id="4" name="Chart 3">
          <a:extLst>
            <a:ext uri="{FF2B5EF4-FFF2-40B4-BE49-F238E27FC236}">
              <a16:creationId xmlns:a16="http://schemas.microsoft.com/office/drawing/2014/main" id="{F7EBBE58-D78D-45C0-842C-870F61449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508000</xdr:colOff>
      <xdr:row>11</xdr:row>
      <xdr:rowOff>12700</xdr:rowOff>
    </xdr:from>
    <xdr:to>
      <xdr:col>13</xdr:col>
      <xdr:colOff>550333</xdr:colOff>
      <xdr:row>23</xdr:row>
      <xdr:rowOff>38100</xdr:rowOff>
    </xdr:to>
    <xdr:graphicFrame macro="">
      <xdr:nvGraphicFramePr>
        <xdr:cNvPr id="5" name="Chart 4">
          <a:extLst>
            <a:ext uri="{FF2B5EF4-FFF2-40B4-BE49-F238E27FC236}">
              <a16:creationId xmlns:a16="http://schemas.microsoft.com/office/drawing/2014/main" id="{0446574C-B794-4DDA-ADA5-137B9A8C68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0</xdr:colOff>
      <xdr:row>0</xdr:row>
      <xdr:rowOff>0</xdr:rowOff>
    </xdr:from>
    <xdr:to>
      <xdr:col>22</xdr:col>
      <xdr:colOff>465667</xdr:colOff>
      <xdr:row>14</xdr:row>
      <xdr:rowOff>174978</xdr:rowOff>
    </xdr:to>
    <xdr:graphicFrame macro="">
      <xdr:nvGraphicFramePr>
        <xdr:cNvPr id="6" name="Chart 5">
          <a:extLst>
            <a:ext uri="{FF2B5EF4-FFF2-40B4-BE49-F238E27FC236}">
              <a16:creationId xmlns:a16="http://schemas.microsoft.com/office/drawing/2014/main" id="{6C1535A0-EB6D-45E8-B0F6-86C4AE59C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7</xdr:col>
      <xdr:colOff>324556</xdr:colOff>
      <xdr:row>14</xdr:row>
      <xdr:rowOff>172961</xdr:rowOff>
    </xdr:to>
    <xdr:graphicFrame macro="">
      <xdr:nvGraphicFramePr>
        <xdr:cNvPr id="7" name="Chart 6">
          <a:extLst>
            <a:ext uri="{FF2B5EF4-FFF2-40B4-BE49-F238E27FC236}">
              <a16:creationId xmlns:a16="http://schemas.microsoft.com/office/drawing/2014/main" id="{8ACB7A83-F48C-4B1E-B687-4E414B13D6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0</xdr:colOff>
      <xdr:row>17</xdr:row>
      <xdr:rowOff>0</xdr:rowOff>
    </xdr:from>
    <xdr:to>
      <xdr:col>23</xdr:col>
      <xdr:colOff>31750</xdr:colOff>
      <xdr:row>27</xdr:row>
      <xdr:rowOff>146049</xdr:rowOff>
    </xdr:to>
    <xdr:graphicFrame macro="">
      <xdr:nvGraphicFramePr>
        <xdr:cNvPr id="8" name="Chart 7">
          <a:extLst>
            <a:ext uri="{FF2B5EF4-FFF2-40B4-BE49-F238E27FC236}">
              <a16:creationId xmlns:a16="http://schemas.microsoft.com/office/drawing/2014/main" id="{CD3E07C5-2494-47C5-B5CF-8B6CF573A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165100</xdr:colOff>
      <xdr:row>0</xdr:row>
      <xdr:rowOff>63500</xdr:rowOff>
    </xdr:from>
    <xdr:to>
      <xdr:col>23</xdr:col>
      <xdr:colOff>12700</xdr:colOff>
      <xdr:row>56</xdr:row>
      <xdr:rowOff>101601</xdr:rowOff>
    </xdr:to>
    <xdr:sp macro="" textlink="">
      <xdr:nvSpPr>
        <xdr:cNvPr id="2" name="Rectangle: Rounded Corners 1">
          <a:extLst>
            <a:ext uri="{FF2B5EF4-FFF2-40B4-BE49-F238E27FC236}">
              <a16:creationId xmlns:a16="http://schemas.microsoft.com/office/drawing/2014/main" id="{8D4152BC-873C-EC87-756C-1F5FCA6AF97B}"/>
            </a:ext>
          </a:extLst>
        </xdr:cNvPr>
        <xdr:cNvSpPr/>
      </xdr:nvSpPr>
      <xdr:spPr>
        <a:xfrm>
          <a:off x="165100" y="63500"/>
          <a:ext cx="13722350" cy="10706101"/>
        </a:xfrm>
        <a:prstGeom prst="roundRect">
          <a:avLst>
            <a:gd name="adj" fmla="val 5073"/>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latin typeface="Arial Black" panose="020B0A04020102020204" pitchFamily="34" charset="0"/>
          </a:endParaRPr>
        </a:p>
      </xdr:txBody>
    </xdr:sp>
    <xdr:clientData/>
  </xdr:twoCellAnchor>
  <xdr:twoCellAnchor>
    <xdr:from>
      <xdr:col>0</xdr:col>
      <xdr:colOff>406400</xdr:colOff>
      <xdr:row>42</xdr:row>
      <xdr:rowOff>127000</xdr:rowOff>
    </xdr:from>
    <xdr:to>
      <xdr:col>11</xdr:col>
      <xdr:colOff>193040</xdr:colOff>
      <xdr:row>55</xdr:row>
      <xdr:rowOff>109220</xdr:rowOff>
    </xdr:to>
    <xdr:sp macro="" textlink="">
      <xdr:nvSpPr>
        <xdr:cNvPr id="29" name="Rectangle: Rounded Corners 28">
          <a:extLst>
            <a:ext uri="{FF2B5EF4-FFF2-40B4-BE49-F238E27FC236}">
              <a16:creationId xmlns:a16="http://schemas.microsoft.com/office/drawing/2014/main" id="{DA1EEEF8-FC3B-AB1F-C4A0-931C595487D7}"/>
            </a:ext>
          </a:extLst>
        </xdr:cNvPr>
        <xdr:cNvSpPr/>
      </xdr:nvSpPr>
      <xdr:spPr>
        <a:xfrm>
          <a:off x="406400" y="8128000"/>
          <a:ext cx="6492240" cy="2458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393700</xdr:colOff>
      <xdr:row>42</xdr:row>
      <xdr:rowOff>114300</xdr:rowOff>
    </xdr:from>
    <xdr:to>
      <xdr:col>11</xdr:col>
      <xdr:colOff>180340</xdr:colOff>
      <xdr:row>55</xdr:row>
      <xdr:rowOff>97536</xdr:rowOff>
    </xdr:to>
    <xdr:graphicFrame macro="">
      <xdr:nvGraphicFramePr>
        <xdr:cNvPr id="35" name="Chart 34">
          <a:extLst>
            <a:ext uri="{FF2B5EF4-FFF2-40B4-BE49-F238E27FC236}">
              <a16:creationId xmlns:a16="http://schemas.microsoft.com/office/drawing/2014/main" id="{7095993F-FE37-4C20-B1B2-0373775123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254000</xdr:colOff>
      <xdr:row>1</xdr:row>
      <xdr:rowOff>95250</xdr:rowOff>
    </xdr:from>
    <xdr:to>
      <xdr:col>14</xdr:col>
      <xdr:colOff>158751</xdr:colOff>
      <xdr:row>7</xdr:row>
      <xdr:rowOff>142875</xdr:rowOff>
    </xdr:to>
    <xdr:sp macro="" textlink="">
      <xdr:nvSpPr>
        <xdr:cNvPr id="37" name="TextBox 36">
          <a:extLst>
            <a:ext uri="{FF2B5EF4-FFF2-40B4-BE49-F238E27FC236}">
              <a16:creationId xmlns:a16="http://schemas.microsoft.com/office/drawing/2014/main" id="{2DE7A1C6-0126-4C81-28F8-F7C7D50A6BF7}"/>
            </a:ext>
          </a:extLst>
        </xdr:cNvPr>
        <xdr:cNvSpPr txBox="1"/>
      </xdr:nvSpPr>
      <xdr:spPr>
        <a:xfrm>
          <a:off x="254000" y="285750"/>
          <a:ext cx="8350251" cy="1190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750" b="1"/>
            <a:t>NATURAL GAS LIQUIDS (NGL) QUALITY DASHBOARD</a:t>
          </a:r>
        </a:p>
      </xdr:txBody>
    </xdr:sp>
    <xdr:clientData/>
  </xdr:twoCellAnchor>
  <xdr:twoCellAnchor>
    <xdr:from>
      <xdr:col>0</xdr:col>
      <xdr:colOff>492125</xdr:colOff>
      <xdr:row>4</xdr:row>
      <xdr:rowOff>142875</xdr:rowOff>
    </xdr:from>
    <xdr:to>
      <xdr:col>12</xdr:col>
      <xdr:colOff>301624</xdr:colOff>
      <xdr:row>9</xdr:row>
      <xdr:rowOff>47625</xdr:rowOff>
    </xdr:to>
    <xdr:sp macro="" textlink="">
      <xdr:nvSpPr>
        <xdr:cNvPr id="38" name="TextBox 37">
          <a:extLst>
            <a:ext uri="{FF2B5EF4-FFF2-40B4-BE49-F238E27FC236}">
              <a16:creationId xmlns:a16="http://schemas.microsoft.com/office/drawing/2014/main" id="{F82B2DA8-83A1-4C73-595F-B5F06CB24843}"/>
            </a:ext>
          </a:extLst>
        </xdr:cNvPr>
        <xdr:cNvSpPr txBox="1"/>
      </xdr:nvSpPr>
      <xdr:spPr>
        <a:xfrm>
          <a:off x="492125" y="904875"/>
          <a:ext cx="7048499"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              DATA SUMMARY:</a:t>
          </a:r>
          <a:r>
            <a:rPr lang="en-US" sz="2400" b="1" baseline="0"/>
            <a:t> 2024 - 2026</a:t>
          </a:r>
          <a:endParaRPr lang="en-US" sz="2400" b="1"/>
        </a:p>
      </xdr:txBody>
    </xdr:sp>
    <xdr:clientData/>
  </xdr:twoCellAnchor>
  <xdr:twoCellAnchor>
    <xdr:from>
      <xdr:col>0</xdr:col>
      <xdr:colOff>358774</xdr:colOff>
      <xdr:row>10</xdr:row>
      <xdr:rowOff>179387</xdr:rowOff>
    </xdr:from>
    <xdr:to>
      <xdr:col>5</xdr:col>
      <xdr:colOff>431800</xdr:colOff>
      <xdr:row>15</xdr:row>
      <xdr:rowOff>141287</xdr:rowOff>
    </xdr:to>
    <xdr:sp macro="" textlink="">
      <xdr:nvSpPr>
        <xdr:cNvPr id="11" name="Rectangle: Rounded Corners 10">
          <a:extLst>
            <a:ext uri="{FF2B5EF4-FFF2-40B4-BE49-F238E27FC236}">
              <a16:creationId xmlns:a16="http://schemas.microsoft.com/office/drawing/2014/main" id="{092028D7-C938-A81B-FC11-F586E29316A5}"/>
            </a:ext>
          </a:extLst>
        </xdr:cNvPr>
        <xdr:cNvSpPr/>
      </xdr:nvSpPr>
      <xdr:spPr>
        <a:xfrm>
          <a:off x="358774" y="941387"/>
          <a:ext cx="3121026" cy="914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496358</xdr:colOff>
      <xdr:row>10</xdr:row>
      <xdr:rowOff>166687</xdr:rowOff>
    </xdr:from>
    <xdr:to>
      <xdr:col>11</xdr:col>
      <xdr:colOff>39158</xdr:colOff>
      <xdr:row>15</xdr:row>
      <xdr:rowOff>128587</xdr:rowOff>
    </xdr:to>
    <xdr:sp macro="" textlink="">
      <xdr:nvSpPr>
        <xdr:cNvPr id="12" name="Rectangle: Rounded Corners 11">
          <a:extLst>
            <a:ext uri="{FF2B5EF4-FFF2-40B4-BE49-F238E27FC236}">
              <a16:creationId xmlns:a16="http://schemas.microsoft.com/office/drawing/2014/main" id="{65B58681-E909-47A0-48FA-98F5FAE917EE}"/>
            </a:ext>
          </a:extLst>
        </xdr:cNvPr>
        <xdr:cNvSpPr/>
      </xdr:nvSpPr>
      <xdr:spPr>
        <a:xfrm>
          <a:off x="3544358" y="928687"/>
          <a:ext cx="3200400" cy="914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94192</xdr:colOff>
      <xdr:row>10</xdr:row>
      <xdr:rowOff>179387</xdr:rowOff>
    </xdr:from>
    <xdr:to>
      <xdr:col>16</xdr:col>
      <xdr:colOff>246592</xdr:colOff>
      <xdr:row>15</xdr:row>
      <xdr:rowOff>141287</xdr:rowOff>
    </xdr:to>
    <xdr:sp macro="" textlink="">
      <xdr:nvSpPr>
        <xdr:cNvPr id="13" name="Rectangle: Rounded Corners 12">
          <a:extLst>
            <a:ext uri="{FF2B5EF4-FFF2-40B4-BE49-F238E27FC236}">
              <a16:creationId xmlns:a16="http://schemas.microsoft.com/office/drawing/2014/main" id="{1AC0FBE6-0C87-C338-618E-E11F657626E8}"/>
            </a:ext>
          </a:extLst>
        </xdr:cNvPr>
        <xdr:cNvSpPr/>
      </xdr:nvSpPr>
      <xdr:spPr>
        <a:xfrm>
          <a:off x="6799792" y="941387"/>
          <a:ext cx="3200400" cy="914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276223</xdr:colOff>
      <xdr:row>10</xdr:row>
      <xdr:rowOff>183642</xdr:rowOff>
    </xdr:from>
    <xdr:to>
      <xdr:col>21</xdr:col>
      <xdr:colOff>520063</xdr:colOff>
      <xdr:row>15</xdr:row>
      <xdr:rowOff>145542</xdr:rowOff>
    </xdr:to>
    <xdr:sp macro="" textlink="">
      <xdr:nvSpPr>
        <xdr:cNvPr id="14" name="Rectangle: Rounded Corners 13">
          <a:extLst>
            <a:ext uri="{FF2B5EF4-FFF2-40B4-BE49-F238E27FC236}">
              <a16:creationId xmlns:a16="http://schemas.microsoft.com/office/drawing/2014/main" id="{B8959E13-EFFF-19DE-88D4-B8618A7BA521}"/>
            </a:ext>
          </a:extLst>
        </xdr:cNvPr>
        <xdr:cNvSpPr/>
      </xdr:nvSpPr>
      <xdr:spPr>
        <a:xfrm>
          <a:off x="10029823" y="945642"/>
          <a:ext cx="3291840" cy="9144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292101</xdr:colOff>
      <xdr:row>11</xdr:row>
      <xdr:rowOff>0</xdr:rowOff>
    </xdr:from>
    <xdr:to>
      <xdr:col>5</xdr:col>
      <xdr:colOff>203200</xdr:colOff>
      <xdr:row>13</xdr:row>
      <xdr:rowOff>101600</xdr:rowOff>
    </xdr:to>
    <xdr:sp macro="" textlink="">
      <xdr:nvSpPr>
        <xdr:cNvPr id="15" name="TextBox 14">
          <a:extLst>
            <a:ext uri="{FF2B5EF4-FFF2-40B4-BE49-F238E27FC236}">
              <a16:creationId xmlns:a16="http://schemas.microsoft.com/office/drawing/2014/main" id="{04E91B7E-1A48-35C6-357F-47AE6ECA2376}"/>
            </a:ext>
          </a:extLst>
        </xdr:cNvPr>
        <xdr:cNvSpPr txBox="1"/>
      </xdr:nvSpPr>
      <xdr:spPr>
        <a:xfrm>
          <a:off x="901701" y="952500"/>
          <a:ext cx="2349499" cy="482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 SAMPLE</a:t>
          </a:r>
        </a:p>
      </xdr:txBody>
    </xdr:sp>
    <xdr:clientData/>
  </xdr:twoCellAnchor>
  <xdr:twoCellAnchor>
    <xdr:from>
      <xdr:col>2</xdr:col>
      <xdr:colOff>139701</xdr:colOff>
      <xdr:row>12</xdr:row>
      <xdr:rowOff>149226</xdr:rowOff>
    </xdr:from>
    <xdr:to>
      <xdr:col>5</xdr:col>
      <xdr:colOff>12701</xdr:colOff>
      <xdr:row>15</xdr:row>
      <xdr:rowOff>85726</xdr:rowOff>
    </xdr:to>
    <xdr:sp macro="" textlink="$AC$5">
      <xdr:nvSpPr>
        <xdr:cNvPr id="16" name="TextBox 15">
          <a:extLst>
            <a:ext uri="{FF2B5EF4-FFF2-40B4-BE49-F238E27FC236}">
              <a16:creationId xmlns:a16="http://schemas.microsoft.com/office/drawing/2014/main" id="{C5EE562C-158C-240D-8085-28760077A987}"/>
            </a:ext>
          </a:extLst>
        </xdr:cNvPr>
        <xdr:cNvSpPr txBox="1"/>
      </xdr:nvSpPr>
      <xdr:spPr>
        <a:xfrm>
          <a:off x="1358901" y="1292226"/>
          <a:ext cx="1701800"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C4FE21-71C3-4128-89C3-CD6E16C181EE}" type="TxLink">
            <a:rPr lang="en-US" sz="3200" b="1" i="0" u="none" strike="noStrike">
              <a:solidFill>
                <a:srgbClr val="000000"/>
              </a:solidFill>
              <a:latin typeface="Calibri"/>
              <a:ea typeface="Calibri"/>
              <a:cs typeface="Calibri"/>
            </a:rPr>
            <a:pPr/>
            <a:t> </a:t>
          </a:fld>
          <a:endParaRPr lang="en-US" sz="3200" b="1"/>
        </a:p>
      </xdr:txBody>
    </xdr:sp>
    <xdr:clientData/>
  </xdr:twoCellAnchor>
  <xdr:twoCellAnchor editAs="oneCell">
    <xdr:from>
      <xdr:col>0</xdr:col>
      <xdr:colOff>304800</xdr:colOff>
      <xdr:row>11</xdr:row>
      <xdr:rowOff>41275</xdr:rowOff>
    </xdr:from>
    <xdr:to>
      <xdr:col>1</xdr:col>
      <xdr:colOff>344424</xdr:colOff>
      <xdr:row>14</xdr:row>
      <xdr:rowOff>118999</xdr:rowOff>
    </xdr:to>
    <xdr:pic>
      <xdr:nvPicPr>
        <xdr:cNvPr id="18" name="Graphic 17" descr="Flask with solid fill">
          <a:extLst>
            <a:ext uri="{FF2B5EF4-FFF2-40B4-BE49-F238E27FC236}">
              <a16:creationId xmlns:a16="http://schemas.microsoft.com/office/drawing/2014/main" id="{83E4E0E2-FAAA-AC94-1482-61ACA8754B7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04800" y="993775"/>
          <a:ext cx="649224" cy="649224"/>
        </a:xfrm>
        <a:prstGeom prst="rect">
          <a:avLst/>
        </a:prstGeom>
      </xdr:spPr>
    </xdr:pic>
    <xdr:clientData/>
  </xdr:twoCellAnchor>
  <xdr:twoCellAnchor editAs="oneCell">
    <xdr:from>
      <xdr:col>5</xdr:col>
      <xdr:colOff>596900</xdr:colOff>
      <xdr:row>11</xdr:row>
      <xdr:rowOff>79375</xdr:rowOff>
    </xdr:from>
    <xdr:to>
      <xdr:col>7</xdr:col>
      <xdr:colOff>24130</xdr:colOff>
      <xdr:row>14</xdr:row>
      <xdr:rowOff>147955</xdr:rowOff>
    </xdr:to>
    <xdr:pic>
      <xdr:nvPicPr>
        <xdr:cNvPr id="20" name="Graphic 19" descr="Tick with solid fill">
          <a:extLst>
            <a:ext uri="{FF2B5EF4-FFF2-40B4-BE49-F238E27FC236}">
              <a16:creationId xmlns:a16="http://schemas.microsoft.com/office/drawing/2014/main" id="{26556C02-565E-7300-6F31-047DAFDF8AE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644900" y="1031875"/>
          <a:ext cx="646430" cy="640080"/>
        </a:xfrm>
        <a:prstGeom prst="rect">
          <a:avLst/>
        </a:prstGeom>
      </xdr:spPr>
    </xdr:pic>
    <xdr:clientData/>
  </xdr:twoCellAnchor>
  <xdr:twoCellAnchor>
    <xdr:from>
      <xdr:col>7</xdr:col>
      <xdr:colOff>25400</xdr:colOff>
      <xdr:row>10</xdr:row>
      <xdr:rowOff>114300</xdr:rowOff>
    </xdr:from>
    <xdr:to>
      <xdr:col>11</xdr:col>
      <xdr:colOff>38099</xdr:colOff>
      <xdr:row>13</xdr:row>
      <xdr:rowOff>63500</xdr:rowOff>
    </xdr:to>
    <xdr:sp macro="" textlink="">
      <xdr:nvSpPr>
        <xdr:cNvPr id="21" name="TextBox 20">
          <a:extLst>
            <a:ext uri="{FF2B5EF4-FFF2-40B4-BE49-F238E27FC236}">
              <a16:creationId xmlns:a16="http://schemas.microsoft.com/office/drawing/2014/main" id="{7D11AA3C-840D-C4B9-692B-DE7473E94DCE}"/>
            </a:ext>
          </a:extLst>
        </xdr:cNvPr>
        <xdr:cNvSpPr txBox="1"/>
      </xdr:nvSpPr>
      <xdr:spPr>
        <a:xfrm>
          <a:off x="4292600" y="876300"/>
          <a:ext cx="2451099" cy="520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PASS RATE</a:t>
          </a:r>
        </a:p>
      </xdr:txBody>
    </xdr:sp>
    <xdr:clientData/>
  </xdr:twoCellAnchor>
  <xdr:twoCellAnchor>
    <xdr:from>
      <xdr:col>7</xdr:col>
      <xdr:colOff>76200</xdr:colOff>
      <xdr:row>12</xdr:row>
      <xdr:rowOff>117475</xdr:rowOff>
    </xdr:from>
    <xdr:to>
      <xdr:col>10</xdr:col>
      <xdr:colOff>12700</xdr:colOff>
      <xdr:row>15</xdr:row>
      <xdr:rowOff>107950</xdr:rowOff>
    </xdr:to>
    <xdr:sp macro="" textlink="$AD$1">
      <xdr:nvSpPr>
        <xdr:cNvPr id="22" name="TextBox 21">
          <a:extLst>
            <a:ext uri="{FF2B5EF4-FFF2-40B4-BE49-F238E27FC236}">
              <a16:creationId xmlns:a16="http://schemas.microsoft.com/office/drawing/2014/main" id="{86F71EF0-B21A-0B1D-75E6-D1CB5524E7E2}"/>
            </a:ext>
          </a:extLst>
        </xdr:cNvPr>
        <xdr:cNvSpPr txBox="1"/>
      </xdr:nvSpPr>
      <xdr:spPr>
        <a:xfrm>
          <a:off x="4343400" y="1260475"/>
          <a:ext cx="1765300" cy="56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54EF9C7-9C89-482D-8F9F-359F9E1E5707}" type="TxLink">
            <a:rPr lang="en-US" sz="3200" b="1" i="0" u="none" strike="noStrike">
              <a:solidFill>
                <a:srgbClr val="000000"/>
              </a:solidFill>
              <a:latin typeface="Calibri"/>
              <a:ea typeface="Calibri"/>
              <a:cs typeface="Calibri"/>
            </a:rPr>
            <a:pPr/>
            <a:t>70.00%</a:t>
          </a:fld>
          <a:endParaRPr lang="en-US" sz="3200" b="1"/>
        </a:p>
      </xdr:txBody>
    </xdr:sp>
    <xdr:clientData/>
  </xdr:twoCellAnchor>
  <xdr:twoCellAnchor editAs="oneCell">
    <xdr:from>
      <xdr:col>11</xdr:col>
      <xdr:colOff>184150</xdr:colOff>
      <xdr:row>11</xdr:row>
      <xdr:rowOff>82551</xdr:rowOff>
    </xdr:from>
    <xdr:to>
      <xdr:col>12</xdr:col>
      <xdr:colOff>227458</xdr:colOff>
      <xdr:row>14</xdr:row>
      <xdr:rowOff>151131</xdr:rowOff>
    </xdr:to>
    <xdr:pic>
      <xdr:nvPicPr>
        <xdr:cNvPr id="27" name="Graphic 26" descr="Warning with solid fill">
          <a:extLst>
            <a:ext uri="{FF2B5EF4-FFF2-40B4-BE49-F238E27FC236}">
              <a16:creationId xmlns:a16="http://schemas.microsoft.com/office/drawing/2014/main" id="{57C646C8-B823-3488-C516-220E619EB82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89750" y="1035051"/>
          <a:ext cx="652908" cy="640080"/>
        </a:xfrm>
        <a:prstGeom prst="rect">
          <a:avLst/>
        </a:prstGeom>
      </xdr:spPr>
    </xdr:pic>
    <xdr:clientData/>
  </xdr:twoCellAnchor>
  <xdr:twoCellAnchor>
    <xdr:from>
      <xdr:col>12</xdr:col>
      <xdr:colOff>215900</xdr:colOff>
      <xdr:row>10</xdr:row>
      <xdr:rowOff>152400</xdr:rowOff>
    </xdr:from>
    <xdr:to>
      <xdr:col>16</xdr:col>
      <xdr:colOff>152400</xdr:colOff>
      <xdr:row>13</xdr:row>
      <xdr:rowOff>177799</xdr:rowOff>
    </xdr:to>
    <xdr:sp macro="" textlink="">
      <xdr:nvSpPr>
        <xdr:cNvPr id="28" name="TextBox 27">
          <a:extLst>
            <a:ext uri="{FF2B5EF4-FFF2-40B4-BE49-F238E27FC236}">
              <a16:creationId xmlns:a16="http://schemas.microsoft.com/office/drawing/2014/main" id="{DD1B10E8-2D2A-CE36-6373-38D47F76A933}"/>
            </a:ext>
          </a:extLst>
        </xdr:cNvPr>
        <xdr:cNvSpPr txBox="1"/>
      </xdr:nvSpPr>
      <xdr:spPr>
        <a:xfrm>
          <a:off x="7531100" y="914400"/>
          <a:ext cx="2374900" cy="5968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TOTAL FAILURE</a:t>
          </a:r>
        </a:p>
      </xdr:txBody>
    </xdr:sp>
    <xdr:clientData/>
  </xdr:twoCellAnchor>
  <xdr:twoCellAnchor>
    <xdr:from>
      <xdr:col>13</xdr:col>
      <xdr:colOff>120651</xdr:colOff>
      <xdr:row>12</xdr:row>
      <xdr:rowOff>127000</xdr:rowOff>
    </xdr:from>
    <xdr:to>
      <xdr:col>15</xdr:col>
      <xdr:colOff>279401</xdr:colOff>
      <xdr:row>15</xdr:row>
      <xdr:rowOff>127000</xdr:rowOff>
    </xdr:to>
    <xdr:sp macro="" textlink="$AC$3">
      <xdr:nvSpPr>
        <xdr:cNvPr id="42" name="TextBox 41">
          <a:extLst>
            <a:ext uri="{FF2B5EF4-FFF2-40B4-BE49-F238E27FC236}">
              <a16:creationId xmlns:a16="http://schemas.microsoft.com/office/drawing/2014/main" id="{4A85F37F-9583-2BCA-6B5F-E002AD781AC2}"/>
            </a:ext>
          </a:extLst>
        </xdr:cNvPr>
        <xdr:cNvSpPr txBox="1"/>
      </xdr:nvSpPr>
      <xdr:spPr>
        <a:xfrm>
          <a:off x="8045451" y="1270000"/>
          <a:ext cx="13779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F8957FE-87C7-4E34-B709-264B63092AD5}" type="TxLink">
            <a:rPr lang="en-US" sz="3200" b="1" i="0" u="none" strike="noStrike">
              <a:solidFill>
                <a:srgbClr val="000000"/>
              </a:solidFill>
              <a:latin typeface="Calibri"/>
              <a:ea typeface="Calibri"/>
              <a:cs typeface="Calibri"/>
            </a:rPr>
            <a:pPr/>
            <a:t> </a:t>
          </a:fld>
          <a:endParaRPr lang="en-US" sz="3200" b="1"/>
        </a:p>
      </xdr:txBody>
    </xdr:sp>
    <xdr:clientData/>
  </xdr:twoCellAnchor>
  <xdr:twoCellAnchor editAs="oneCell">
    <xdr:from>
      <xdr:col>16</xdr:col>
      <xdr:colOff>250825</xdr:colOff>
      <xdr:row>10</xdr:row>
      <xdr:rowOff>177800</xdr:rowOff>
    </xdr:from>
    <xdr:to>
      <xdr:col>17</xdr:col>
      <xdr:colOff>288713</xdr:colOff>
      <xdr:row>14</xdr:row>
      <xdr:rowOff>55880</xdr:rowOff>
    </xdr:to>
    <xdr:pic>
      <xdr:nvPicPr>
        <xdr:cNvPr id="44" name="Graphic 43" descr="Bullseye with solid fill">
          <a:extLst>
            <a:ext uri="{FF2B5EF4-FFF2-40B4-BE49-F238E27FC236}">
              <a16:creationId xmlns:a16="http://schemas.microsoft.com/office/drawing/2014/main" id="{A6FD71D5-9A4D-DEE3-7400-61BCE57A02E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0004425" y="939800"/>
          <a:ext cx="647488" cy="640080"/>
        </a:xfrm>
        <a:prstGeom prst="rect">
          <a:avLst/>
        </a:prstGeom>
      </xdr:spPr>
    </xdr:pic>
    <xdr:clientData/>
  </xdr:twoCellAnchor>
  <xdr:twoCellAnchor>
    <xdr:from>
      <xdr:col>17</xdr:col>
      <xdr:colOff>165100</xdr:colOff>
      <xdr:row>10</xdr:row>
      <xdr:rowOff>127000</xdr:rowOff>
    </xdr:from>
    <xdr:to>
      <xdr:col>22</xdr:col>
      <xdr:colOff>211666</xdr:colOff>
      <xdr:row>14</xdr:row>
      <xdr:rowOff>81410</xdr:rowOff>
    </xdr:to>
    <xdr:sp macro="" textlink="">
      <xdr:nvSpPr>
        <xdr:cNvPr id="45" name="TextBox 44">
          <a:extLst>
            <a:ext uri="{FF2B5EF4-FFF2-40B4-BE49-F238E27FC236}">
              <a16:creationId xmlns:a16="http://schemas.microsoft.com/office/drawing/2014/main" id="{A128C3ED-8F24-0685-6462-D8BB8D5FB9F4}"/>
            </a:ext>
          </a:extLst>
        </xdr:cNvPr>
        <xdr:cNvSpPr txBox="1"/>
      </xdr:nvSpPr>
      <xdr:spPr>
        <a:xfrm>
          <a:off x="10406510" y="1918026"/>
          <a:ext cx="3058746" cy="670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900" b="1"/>
            <a:t>MOST</a:t>
          </a:r>
          <a:r>
            <a:rPr lang="en-US" sz="1900" b="1" baseline="0"/>
            <a:t> FAILED PARAMETER</a:t>
          </a:r>
          <a:endParaRPr lang="en-US" sz="1900" b="1"/>
        </a:p>
      </xdr:txBody>
    </xdr:sp>
    <xdr:clientData/>
  </xdr:twoCellAnchor>
  <xdr:twoCellAnchor>
    <xdr:from>
      <xdr:col>18</xdr:col>
      <xdr:colOff>63500</xdr:colOff>
      <xdr:row>12</xdr:row>
      <xdr:rowOff>139700</xdr:rowOff>
    </xdr:from>
    <xdr:to>
      <xdr:col>21</xdr:col>
      <xdr:colOff>12700</xdr:colOff>
      <xdr:row>15</xdr:row>
      <xdr:rowOff>25400</xdr:rowOff>
    </xdr:to>
    <xdr:sp macro="" textlink="">
      <xdr:nvSpPr>
        <xdr:cNvPr id="46" name="TextBox 45">
          <a:extLst>
            <a:ext uri="{FF2B5EF4-FFF2-40B4-BE49-F238E27FC236}">
              <a16:creationId xmlns:a16="http://schemas.microsoft.com/office/drawing/2014/main" id="{1B95966E-4F06-1116-A44B-920ACB04E5B3}"/>
            </a:ext>
          </a:extLst>
        </xdr:cNvPr>
        <xdr:cNvSpPr txBox="1"/>
      </xdr:nvSpPr>
      <xdr:spPr>
        <a:xfrm>
          <a:off x="11036300" y="1282700"/>
          <a:ext cx="17780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DENSITY</a:t>
          </a:r>
          <a:endParaRPr lang="en-US" sz="2000" b="1"/>
        </a:p>
      </xdr:txBody>
    </xdr:sp>
    <xdr:clientData/>
  </xdr:twoCellAnchor>
  <xdr:twoCellAnchor editAs="oneCell">
    <xdr:from>
      <xdr:col>19</xdr:col>
      <xdr:colOff>15874</xdr:colOff>
      <xdr:row>5</xdr:row>
      <xdr:rowOff>47627</xdr:rowOff>
    </xdr:from>
    <xdr:to>
      <xdr:col>22</xdr:col>
      <xdr:colOff>400684</xdr:colOff>
      <xdr:row>10</xdr:row>
      <xdr:rowOff>97692</xdr:rowOff>
    </xdr:to>
    <mc:AlternateContent xmlns:mc="http://schemas.openxmlformats.org/markup-compatibility/2006">
      <mc:Choice xmlns:a14="http://schemas.microsoft.com/office/drawing/2010/main" Requires="a14">
        <xdr:graphicFrame macro="">
          <xdr:nvGraphicFramePr>
            <xdr:cNvPr id="47" name="Year">
              <a:extLst>
                <a:ext uri="{FF2B5EF4-FFF2-40B4-BE49-F238E27FC236}">
                  <a16:creationId xmlns:a16="http://schemas.microsoft.com/office/drawing/2014/main" id="{F71A9E31-9DB5-4EE9-83A7-1703CB7C000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1462156" y="943140"/>
              <a:ext cx="2192118" cy="9455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9525</xdr:colOff>
      <xdr:row>0</xdr:row>
      <xdr:rowOff>148169</xdr:rowOff>
    </xdr:from>
    <xdr:to>
      <xdr:col>22</xdr:col>
      <xdr:colOff>394335</xdr:colOff>
      <xdr:row>5</xdr:row>
      <xdr:rowOff>29212</xdr:rowOff>
    </xdr:to>
    <mc:AlternateContent xmlns:mc="http://schemas.openxmlformats.org/markup-compatibility/2006">
      <mc:Choice xmlns:a14="http://schemas.microsoft.com/office/drawing/2010/main" Requires="a14">
        <xdr:graphicFrame macro="">
          <xdr:nvGraphicFramePr>
            <xdr:cNvPr id="48" name="Product Code">
              <a:extLst>
                <a:ext uri="{FF2B5EF4-FFF2-40B4-BE49-F238E27FC236}">
                  <a16:creationId xmlns:a16="http://schemas.microsoft.com/office/drawing/2014/main" id="{4B95F43F-E2C6-40B8-964F-069464E7D36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 Code"/>
            </a:graphicData>
          </a:graphic>
        </xdr:graphicFrame>
      </mc:Choice>
      <mc:Fallback>
        <xdr:sp macro="" textlink="">
          <xdr:nvSpPr>
            <xdr:cNvPr id="0" name=""/>
            <xdr:cNvSpPr>
              <a:spLocks noTextEdit="1"/>
            </xdr:cNvSpPr>
          </xdr:nvSpPr>
          <xdr:spPr>
            <a:xfrm>
              <a:off x="11455807" y="148169"/>
              <a:ext cx="2192118" cy="7765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15876</xdr:colOff>
      <xdr:row>0</xdr:row>
      <xdr:rowOff>110310</xdr:rowOff>
    </xdr:from>
    <xdr:to>
      <xdr:col>18</xdr:col>
      <xdr:colOff>582085</xdr:colOff>
      <xdr:row>10</xdr:row>
      <xdr:rowOff>97691</xdr:rowOff>
    </xdr:to>
    <mc:AlternateContent xmlns:mc="http://schemas.openxmlformats.org/markup-compatibility/2006">
      <mc:Choice xmlns:a14="http://schemas.microsoft.com/office/drawing/2010/main" Requires="a14">
        <xdr:graphicFrame macro="">
          <xdr:nvGraphicFramePr>
            <xdr:cNvPr id="49" name="Month">
              <a:extLst>
                <a:ext uri="{FF2B5EF4-FFF2-40B4-BE49-F238E27FC236}">
                  <a16:creationId xmlns:a16="http://schemas.microsoft.com/office/drawing/2014/main" id="{CBCCEB72-B54B-461C-A80F-AAE81D5ED8B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847543" y="110310"/>
              <a:ext cx="3578388" cy="17784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254000</xdr:colOff>
      <xdr:row>42</xdr:row>
      <xdr:rowOff>114300</xdr:rowOff>
    </xdr:from>
    <xdr:to>
      <xdr:col>22</xdr:col>
      <xdr:colOff>40640</xdr:colOff>
      <xdr:row>55</xdr:row>
      <xdr:rowOff>96520</xdr:rowOff>
    </xdr:to>
    <xdr:sp macro="" textlink="">
      <xdr:nvSpPr>
        <xdr:cNvPr id="4" name="Rectangle: Rounded Corners 3">
          <a:extLst>
            <a:ext uri="{FF2B5EF4-FFF2-40B4-BE49-F238E27FC236}">
              <a16:creationId xmlns:a16="http://schemas.microsoft.com/office/drawing/2014/main" id="{890DC838-6F3C-3168-ACF6-9011007F28D0}"/>
            </a:ext>
          </a:extLst>
        </xdr:cNvPr>
        <xdr:cNvSpPr/>
      </xdr:nvSpPr>
      <xdr:spPr>
        <a:xfrm>
          <a:off x="6959600" y="6972300"/>
          <a:ext cx="6492240" cy="2458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368300</xdr:colOff>
      <xdr:row>29</xdr:row>
      <xdr:rowOff>63500</xdr:rowOff>
    </xdr:from>
    <xdr:to>
      <xdr:col>11</xdr:col>
      <xdr:colOff>154940</xdr:colOff>
      <xdr:row>42</xdr:row>
      <xdr:rowOff>45720</xdr:rowOff>
    </xdr:to>
    <xdr:sp macro="" textlink="">
      <xdr:nvSpPr>
        <xdr:cNvPr id="17" name="Rectangle: Rounded Corners 16">
          <a:extLst>
            <a:ext uri="{FF2B5EF4-FFF2-40B4-BE49-F238E27FC236}">
              <a16:creationId xmlns:a16="http://schemas.microsoft.com/office/drawing/2014/main" id="{7327DB32-9289-133C-03B7-D6407B3A79C7}"/>
            </a:ext>
          </a:extLst>
        </xdr:cNvPr>
        <xdr:cNvSpPr/>
      </xdr:nvSpPr>
      <xdr:spPr>
        <a:xfrm>
          <a:off x="368300" y="4445000"/>
          <a:ext cx="6492240" cy="2458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215900</xdr:colOff>
      <xdr:row>29</xdr:row>
      <xdr:rowOff>50800</xdr:rowOff>
    </xdr:from>
    <xdr:to>
      <xdr:col>22</xdr:col>
      <xdr:colOff>2540</xdr:colOff>
      <xdr:row>42</xdr:row>
      <xdr:rowOff>33020</xdr:rowOff>
    </xdr:to>
    <xdr:sp macro="" textlink="">
      <xdr:nvSpPr>
        <xdr:cNvPr id="19" name="Rectangle: Rounded Corners 18">
          <a:extLst>
            <a:ext uri="{FF2B5EF4-FFF2-40B4-BE49-F238E27FC236}">
              <a16:creationId xmlns:a16="http://schemas.microsoft.com/office/drawing/2014/main" id="{49A998A7-A84D-8F52-CF0C-CAE9A0A0796B}"/>
            </a:ext>
          </a:extLst>
        </xdr:cNvPr>
        <xdr:cNvSpPr/>
      </xdr:nvSpPr>
      <xdr:spPr>
        <a:xfrm>
          <a:off x="6921500" y="4432300"/>
          <a:ext cx="6492240" cy="2458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355600</xdr:colOff>
      <xdr:row>16</xdr:row>
      <xdr:rowOff>25400</xdr:rowOff>
    </xdr:from>
    <xdr:to>
      <xdr:col>11</xdr:col>
      <xdr:colOff>142240</xdr:colOff>
      <xdr:row>29</xdr:row>
      <xdr:rowOff>7620</xdr:rowOff>
    </xdr:to>
    <xdr:sp macro="" textlink="">
      <xdr:nvSpPr>
        <xdr:cNvPr id="23" name="Rectangle: Rounded Corners 22">
          <a:extLst>
            <a:ext uri="{FF2B5EF4-FFF2-40B4-BE49-F238E27FC236}">
              <a16:creationId xmlns:a16="http://schemas.microsoft.com/office/drawing/2014/main" id="{BAA3E785-41C1-8071-917D-D506E75B7E7F}"/>
            </a:ext>
          </a:extLst>
        </xdr:cNvPr>
        <xdr:cNvSpPr/>
      </xdr:nvSpPr>
      <xdr:spPr>
        <a:xfrm>
          <a:off x="355600" y="1930400"/>
          <a:ext cx="6492240" cy="2458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203200</xdr:colOff>
      <xdr:row>16</xdr:row>
      <xdr:rowOff>12700</xdr:rowOff>
    </xdr:from>
    <xdr:to>
      <xdr:col>21</xdr:col>
      <xdr:colOff>599440</xdr:colOff>
      <xdr:row>28</xdr:row>
      <xdr:rowOff>185420</xdr:rowOff>
    </xdr:to>
    <xdr:sp macro="" textlink="">
      <xdr:nvSpPr>
        <xdr:cNvPr id="39" name="Rectangle: Rounded Corners 38">
          <a:extLst>
            <a:ext uri="{FF2B5EF4-FFF2-40B4-BE49-F238E27FC236}">
              <a16:creationId xmlns:a16="http://schemas.microsoft.com/office/drawing/2014/main" id="{4376B21D-28DA-FD29-E9E9-FEBC7E9216A4}"/>
            </a:ext>
          </a:extLst>
        </xdr:cNvPr>
        <xdr:cNvSpPr/>
      </xdr:nvSpPr>
      <xdr:spPr>
        <a:xfrm>
          <a:off x="6908800" y="1917700"/>
          <a:ext cx="6492240" cy="2458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342900</xdr:colOff>
      <xdr:row>16</xdr:row>
      <xdr:rowOff>12700</xdr:rowOff>
    </xdr:from>
    <xdr:to>
      <xdr:col>11</xdr:col>
      <xdr:colOff>154941</xdr:colOff>
      <xdr:row>28</xdr:row>
      <xdr:rowOff>186436</xdr:rowOff>
    </xdr:to>
    <xdr:graphicFrame macro="">
      <xdr:nvGraphicFramePr>
        <xdr:cNvPr id="31" name="Chart 30">
          <a:extLst>
            <a:ext uri="{FF2B5EF4-FFF2-40B4-BE49-F238E27FC236}">
              <a16:creationId xmlns:a16="http://schemas.microsoft.com/office/drawing/2014/main" id="{F719F884-D488-4EB1-A9BF-F6DF617B04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11</xdr:col>
      <xdr:colOff>190501</xdr:colOff>
      <xdr:row>16</xdr:row>
      <xdr:rowOff>12700</xdr:rowOff>
    </xdr:from>
    <xdr:to>
      <xdr:col>21</xdr:col>
      <xdr:colOff>586741</xdr:colOff>
      <xdr:row>28</xdr:row>
      <xdr:rowOff>186436</xdr:rowOff>
    </xdr:to>
    <xdr:graphicFrame macro="">
      <xdr:nvGraphicFramePr>
        <xdr:cNvPr id="32" name="Chart 31">
          <a:extLst>
            <a:ext uri="{FF2B5EF4-FFF2-40B4-BE49-F238E27FC236}">
              <a16:creationId xmlns:a16="http://schemas.microsoft.com/office/drawing/2014/main" id="{93B8BAC8-FA84-47BE-9372-EC9170752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368301</xdr:colOff>
      <xdr:row>29</xdr:row>
      <xdr:rowOff>50800</xdr:rowOff>
    </xdr:from>
    <xdr:to>
      <xdr:col>11</xdr:col>
      <xdr:colOff>154941</xdr:colOff>
      <xdr:row>42</xdr:row>
      <xdr:rowOff>34036</xdr:rowOff>
    </xdr:to>
    <xdr:graphicFrame macro="">
      <xdr:nvGraphicFramePr>
        <xdr:cNvPr id="33" name="Chart 32">
          <a:extLst>
            <a:ext uri="{FF2B5EF4-FFF2-40B4-BE49-F238E27FC236}">
              <a16:creationId xmlns:a16="http://schemas.microsoft.com/office/drawing/2014/main" id="{E58CE14A-C3DC-4386-B86B-805AD24453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177800</xdr:colOff>
      <xdr:row>29</xdr:row>
      <xdr:rowOff>38100</xdr:rowOff>
    </xdr:from>
    <xdr:to>
      <xdr:col>21</xdr:col>
      <xdr:colOff>574040</xdr:colOff>
      <xdr:row>42</xdr:row>
      <xdr:rowOff>21336</xdr:rowOff>
    </xdr:to>
    <xdr:graphicFrame macro="">
      <xdr:nvGraphicFramePr>
        <xdr:cNvPr id="34" name="Chart 33">
          <a:extLst>
            <a:ext uri="{FF2B5EF4-FFF2-40B4-BE49-F238E27FC236}">
              <a16:creationId xmlns:a16="http://schemas.microsoft.com/office/drawing/2014/main" id="{095F50AF-F1EF-4C52-A973-10098B572F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254000</xdr:colOff>
      <xdr:row>42</xdr:row>
      <xdr:rowOff>114300</xdr:rowOff>
    </xdr:from>
    <xdr:to>
      <xdr:col>22</xdr:col>
      <xdr:colOff>40640</xdr:colOff>
      <xdr:row>55</xdr:row>
      <xdr:rowOff>97536</xdr:rowOff>
    </xdr:to>
    <xdr:graphicFrame macro="">
      <xdr:nvGraphicFramePr>
        <xdr:cNvPr id="36" name="Chart 35">
          <a:extLst>
            <a:ext uri="{FF2B5EF4-FFF2-40B4-BE49-F238E27FC236}">
              <a16:creationId xmlns:a16="http://schemas.microsoft.com/office/drawing/2014/main" id="{1C943051-DDFE-4BA3-94DF-738D08C62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0.924910185182" createdVersion="8" refreshedVersion="8" minRefreshableVersion="3" recordCount="151" xr:uid="{7E85026A-B348-4559-BE43-ED27A003A45E}">
  <cacheSource type="worksheet">
    <worksheetSource ref="A1:V1048576" sheet="Cleaned Data"/>
  </cacheSource>
  <cacheFields count="22">
    <cacheField name="S/N" numFmtId="0">
      <sharedItems containsString="0" containsBlank="1" containsNumber="1" containsInteger="1" minValue="1" maxValue="150"/>
    </cacheField>
    <cacheField name="Sample ID" numFmtId="0">
      <sharedItems containsBlank="1" count="151">
        <s v="TX/LNG/2024/001"/>
        <s v="TX/LNG/2024/002"/>
        <s v="TX/LNG/2024/003"/>
        <s v="TX/LNG/2024/004"/>
        <s v="TX/LNG/2024/005"/>
        <s v="TX/LNG/2024/006"/>
        <s v="TX/LNG/2024/007"/>
        <s v="TX/LNG/2024/008"/>
        <s v="TX/LNG/2024/009"/>
        <s v="TX/LNG/2024/010"/>
        <s v="TX/LNG/2024/011"/>
        <s v="TX/LNG/2024/012"/>
        <s v="TX/LNG/2024/013"/>
        <s v="TX/LNG/2024/014"/>
        <s v="TX/LNG/2024/015"/>
        <s v="TX/LNG/2024/016"/>
        <s v="TX/LNG/2024/017"/>
        <s v="TX/LNG/2024/018"/>
        <s v="TX/LNG/2024/019"/>
        <s v="TX/LNG/2024/020"/>
        <s v="TX/LNG/2024/021"/>
        <s v="TX/LNG/2024/022"/>
        <s v="TX/LNG/2024/023"/>
        <s v="TX/LNG/2024/024"/>
        <s v="TX/LNG/2024/025"/>
        <s v="TX/LNG/2024/026"/>
        <s v="TX/LNG/2024/027"/>
        <s v="TX/LNG/2024/028"/>
        <s v="TX/LNG/2024/029"/>
        <s v="TX/LNG/2024/030"/>
        <s v="TX/LNG/2024/031"/>
        <s v="TX/LNG/2024/032"/>
        <s v="TX/LNG/2024/033"/>
        <s v="TX/LNG/2024/034"/>
        <s v="TX/LNG/2024/035"/>
        <s v="TX/LNG/2024/036"/>
        <s v="TX/LNG/2024/037"/>
        <s v="TX/LNG/2024/038"/>
        <s v="TX/LNG/2024/039"/>
        <s v="TX/LNG/2024/040"/>
        <s v="TX/LNG/2024/041"/>
        <s v="TX/LNG/2024/042"/>
        <s v="TX/LNG/2024/043"/>
        <s v="TX/LNG/2024/044"/>
        <s v="TX/LNG/2024/045"/>
        <s v="TX/LNG/2024/046"/>
        <s v="TX/LNG/2024/047"/>
        <s v="TX/LNG/2024/048"/>
        <s v="TX/LNG/2024/049"/>
        <s v="TX/LNG/2024/050"/>
        <s v="TX/LNG/2024/051"/>
        <s v="TX/LNG/2024/052"/>
        <s v="TX/LNG/2024/053"/>
        <s v="TX/LNG/2024/054"/>
        <s v="TX/LNG/2024/055"/>
        <s v="TX/LNG/2024/056"/>
        <s v="TX/LNG/2024/057"/>
        <s v="TX/LNG/2024/058"/>
        <s v="TX/LNG/2024/059"/>
        <s v="TX/LNG/2024/060"/>
        <s v="TX/LNG/2025/061"/>
        <s v="TX/LNG/2025/062"/>
        <s v="TX/LNG/2025/063"/>
        <s v="TX/LNG/2025/064"/>
        <s v="TX/LNG/2025/065"/>
        <s v="TX/LNG/2025/066"/>
        <s v="TX/LNG/2025/067"/>
        <s v="TX/LNG/2025/068"/>
        <s v="TX/LNG/2025/069"/>
        <s v="TX/LNG/2025/070"/>
        <s v="TX/LNG/2025/071"/>
        <s v="TX/LNG/2025/072"/>
        <s v="TX/LNG/2025/073"/>
        <s v="TX/LNG/2025/074"/>
        <s v="TX/LNG/2025/075"/>
        <s v="TX/LNG/2025/076"/>
        <s v="TX/LNG/2025/077"/>
        <s v="TX/LNG/2025/078"/>
        <s v="TX/LNG/2025/079"/>
        <s v="TX/LNG/2025/080"/>
        <s v="TX/LNG/2025/081"/>
        <s v="TX/LNG/2025/082"/>
        <s v="TX/LNG/2025/083"/>
        <s v="TX/LNG/2025/084"/>
        <s v="TX/LNG/2025/085"/>
        <s v="TX/LNG/2025/086"/>
        <s v="TX/LNG/2025/087"/>
        <s v="TX/LNG/2025/088"/>
        <s v="TX/LNG/2025/089"/>
        <s v="TX/LNG/2025/090"/>
        <s v="TX/LNG/2025/091"/>
        <s v="TX/LNG/2025/092"/>
        <s v="TX/LNG/2025/093"/>
        <s v="TX/LNG/2025/094"/>
        <s v="TX/LNG/2025/095"/>
        <s v="TX/LNG/2025/096"/>
        <s v="TX/LNG/2025/097"/>
        <s v="TX/LNG/2025/098"/>
        <s v="TX/LNG/2025/099"/>
        <s v="TX/LNG/2025/100"/>
        <s v="TX/LNG/2025/101"/>
        <s v="TX/LNG/2025/102"/>
        <s v="TX/LNG/2025/103"/>
        <s v="TX/LNG/2025/104"/>
        <s v="TX/LNG/2025/105"/>
        <s v="TX/LNG/2025/106"/>
        <s v="TX/LNG/2025/107"/>
        <s v="TX/LNG/2025/108"/>
        <s v="TX/LNG/2025/109"/>
        <s v="TX/LNG/2025/110"/>
        <s v="TX/LNG/2025/111"/>
        <s v="TX/LNG/2025/112"/>
        <s v="TX/LNG/2025/113"/>
        <s v="TX/LNG/2025/114"/>
        <s v="TX/LNG/2025/115"/>
        <s v="TX/LNG/2025/116"/>
        <s v="TX/LNG/2025/117"/>
        <s v="TX/LNG/2025/118"/>
        <s v="TX/LNG/2025/119"/>
        <s v="TX/LNG/2025/120"/>
        <s v="TX/LNG/2026/121"/>
        <s v="TX/LNG/2026/122"/>
        <s v="TX/LNG/2026/123"/>
        <s v="TX/LNG/2026/124"/>
        <s v="TX/LNG/2026/125"/>
        <s v="TX/LNG/2026/126"/>
        <s v="TX/LNG/2026/127"/>
        <s v="TX/LNG/2026/128"/>
        <s v="TX/LNG/2026/129"/>
        <s v="TX/LNG/2026/130"/>
        <s v="TX/LNG/2026/131"/>
        <s v="TX/LNG/2026/132"/>
        <s v="TX/LNG/2026/133"/>
        <s v="TX/LNG/2026/134"/>
        <s v="TX/LNG/2026/135"/>
        <s v="TX/LNG/2026/136"/>
        <s v="TX/LNG/2026/137"/>
        <s v="TX/LNG/2026/138"/>
        <s v="TX/LNG/2026/139"/>
        <s v="TX/LNG/2026/140"/>
        <s v="TX/LNG/2026/141"/>
        <s v="TX/LNG/2026/142"/>
        <s v="TX/LNG/2026/143"/>
        <s v="TX/LNG/2026/144"/>
        <s v="TX/LNG/2026/145"/>
        <s v="TX/LNG/2026/146"/>
        <s v="TX/LNG/2026/147"/>
        <s v="TX/LNG/2026/148"/>
        <s v="TX/LNG/2026/149"/>
        <s v="TX/LNG/2026/150"/>
        <m/>
      </sharedItems>
    </cacheField>
    <cacheField name="Date Sampled" numFmtId="0">
      <sharedItems containsBlank="1"/>
    </cacheField>
    <cacheField name="Month" numFmtId="0">
      <sharedItems containsBlank="1" count="13">
        <s v="Jan"/>
        <s v="Feb"/>
        <s v="Mar"/>
        <s v="Apr"/>
        <s v="May"/>
        <s v="Jun"/>
        <s v="Jul"/>
        <s v="Aug"/>
        <s v="Sep"/>
        <s v="Oct"/>
        <s v="Nov"/>
        <s v="Dec"/>
        <m/>
      </sharedItems>
    </cacheField>
    <cacheField name="Year" numFmtId="0">
      <sharedItems containsBlank="1"/>
    </cacheField>
    <cacheField name="Product Code" numFmtId="0">
      <sharedItems containsBlank="1" count="3">
        <s v="LPG"/>
        <s v="Butane"/>
        <m/>
      </sharedItems>
    </cacheField>
    <cacheField name="Propane (%)" numFmtId="0">
      <sharedItems containsString="0" containsBlank="1" containsNumber="1" minValue="0.21" maxValue="23.98"/>
    </cacheField>
    <cacheField name="Isobutane (%)" numFmtId="0">
      <sharedItems containsString="0" containsBlank="1" containsNumber="1" minValue="21.56" maxValue="43.54"/>
    </cacheField>
    <cacheField name="n-Butane (%)" numFmtId="0">
      <sharedItems containsString="0" containsBlank="1" containsNumber="1" minValue="50.28" maxValue="71.97"/>
    </cacheField>
    <cacheField name="Vapour Pressure @ 37.8°C (bar)" numFmtId="0">
      <sharedItems containsString="0" containsBlank="1" containsNumber="1" minValue="2.96" maxValue="4.45"/>
    </cacheField>
    <cacheField name="Density @ 15°C" numFmtId="0">
      <sharedItems containsString="0" containsBlank="1" containsNumber="1" minValue="0.5554" maxValue="0.5917"/>
    </cacheField>
    <cacheField name="Propane P/F" numFmtId="0">
      <sharedItems containsBlank="1"/>
    </cacheField>
    <cacheField name="Isobutane P/F" numFmtId="0">
      <sharedItems containsBlank="1"/>
    </cacheField>
    <cacheField name="n-Butane P/F" numFmtId="0">
      <sharedItems containsBlank="1"/>
    </cacheField>
    <cacheField name="VP P/F" numFmtId="0">
      <sharedItems containsBlank="1"/>
    </cacheField>
    <cacheField name="Density P/F" numFmtId="0">
      <sharedItems containsBlank="1"/>
    </cacheField>
    <cacheField name="Overall Result" numFmtId="0">
      <sharedItems containsBlank="1" count="3">
        <s v="FAIL"/>
        <s v="PASS"/>
        <m/>
      </sharedItems>
    </cacheField>
    <cacheField name="PROPANE FAIL" numFmtId="0">
      <sharedItems containsString="0" containsBlank="1" containsNumber="1" containsInteger="1" minValue="0" maxValue="1"/>
    </cacheField>
    <cacheField name="ISOBUTANE FAIL" numFmtId="0">
      <sharedItems containsString="0" containsBlank="1" containsNumber="1" containsInteger="1" minValue="0" maxValue="0"/>
    </cacheField>
    <cacheField name="n BUTANE FAIL" numFmtId="0">
      <sharedItems containsString="0" containsBlank="1" containsNumber="1" containsInteger="1" minValue="0" maxValue="1"/>
    </cacheField>
    <cacheField name="VAPOUR PRESSURE FAIL" numFmtId="0">
      <sharedItems containsString="0" containsBlank="1" containsNumber="1" containsInteger="1" minValue="0" maxValue="0"/>
    </cacheField>
    <cacheField name="DENSITY FAIL" numFmtId="0">
      <sharedItems containsString="0" containsBlank="1" containsNumber="1" containsInteger="1" minValue="0" maxValue="1"/>
    </cacheField>
  </cacheFields>
  <extLst>
    <ext xmlns:x14="http://schemas.microsoft.com/office/spreadsheetml/2009/9/main" uri="{725AE2AE-9491-48be-B2B4-4EB974FC3084}">
      <x14:pivotCacheDefinition pivotCacheId="17002903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0.99963298611" createdVersion="8" refreshedVersion="8" minRefreshableVersion="3" recordCount="150" xr:uid="{8FE8D68B-C628-47F3-A7DE-15E8FCF714AB}">
  <cacheSource type="worksheet">
    <worksheetSource name="Table1"/>
  </cacheSource>
  <cacheFields count="22">
    <cacheField name="S/N" numFmtId="0">
      <sharedItems containsSemiMixedTypes="0" containsString="0" containsNumber="1" containsInteger="1" minValue="1" maxValue="150"/>
    </cacheField>
    <cacheField name="Sample ID" numFmtId="0">
      <sharedItems count="150">
        <s v="TX/LNG/2024/001"/>
        <s v="TX/LNG/2024/002"/>
        <s v="TX/LNG/2024/003"/>
        <s v="TX/LNG/2024/004"/>
        <s v="TX/LNG/2024/005"/>
        <s v="TX/LNG/2024/006"/>
        <s v="TX/LNG/2024/007"/>
        <s v="TX/LNG/2024/008"/>
        <s v="TX/LNG/2024/009"/>
        <s v="TX/LNG/2024/010"/>
        <s v="TX/LNG/2024/011"/>
        <s v="TX/LNG/2024/012"/>
        <s v="TX/LNG/2024/013"/>
        <s v="TX/LNG/2024/014"/>
        <s v="TX/LNG/2024/015"/>
        <s v="TX/LNG/2024/016"/>
        <s v="TX/LNG/2024/017"/>
        <s v="TX/LNG/2024/018"/>
        <s v="TX/LNG/2024/019"/>
        <s v="TX/LNG/2024/020"/>
        <s v="TX/LNG/2024/021"/>
        <s v="TX/LNG/2024/022"/>
        <s v="TX/LNG/2024/023"/>
        <s v="TX/LNG/2024/024"/>
        <s v="TX/LNG/2024/025"/>
        <s v="TX/LNG/2024/026"/>
        <s v="TX/LNG/2024/027"/>
        <s v="TX/LNG/2024/028"/>
        <s v="TX/LNG/2024/029"/>
        <s v="TX/LNG/2024/030"/>
        <s v="TX/LNG/2024/031"/>
        <s v="TX/LNG/2024/032"/>
        <s v="TX/LNG/2024/033"/>
        <s v="TX/LNG/2024/034"/>
        <s v="TX/LNG/2024/035"/>
        <s v="TX/LNG/2024/036"/>
        <s v="TX/LNG/2024/037"/>
        <s v="TX/LNG/2024/038"/>
        <s v="TX/LNG/2024/039"/>
        <s v="TX/LNG/2024/040"/>
        <s v="TX/LNG/2024/041"/>
        <s v="TX/LNG/2024/042"/>
        <s v="TX/LNG/2024/043"/>
        <s v="TX/LNG/2024/044"/>
        <s v="TX/LNG/2024/045"/>
        <s v="TX/LNG/2024/046"/>
        <s v="TX/LNG/2024/047"/>
        <s v="TX/LNG/2024/048"/>
        <s v="TX/LNG/2024/049"/>
        <s v="TX/LNG/2024/050"/>
        <s v="TX/LNG/2024/051"/>
        <s v="TX/LNG/2024/052"/>
        <s v="TX/LNG/2024/053"/>
        <s v="TX/LNG/2024/054"/>
        <s v="TX/LNG/2024/055"/>
        <s v="TX/LNG/2024/056"/>
        <s v="TX/LNG/2024/057"/>
        <s v="TX/LNG/2024/058"/>
        <s v="TX/LNG/2024/059"/>
        <s v="TX/LNG/2024/060"/>
        <s v="TX/LNG/2025/061"/>
        <s v="TX/LNG/2025/062"/>
        <s v="TX/LNG/2025/063"/>
        <s v="TX/LNG/2025/064"/>
        <s v="TX/LNG/2025/065"/>
        <s v="TX/LNG/2025/066"/>
        <s v="TX/LNG/2025/067"/>
        <s v="TX/LNG/2025/068"/>
        <s v="TX/LNG/2025/069"/>
        <s v="TX/LNG/2025/070"/>
        <s v="TX/LNG/2025/071"/>
        <s v="TX/LNG/2025/072"/>
        <s v="TX/LNG/2025/073"/>
        <s v="TX/LNG/2025/074"/>
        <s v="TX/LNG/2025/075"/>
        <s v="TX/LNG/2025/076"/>
        <s v="TX/LNG/2025/077"/>
        <s v="TX/LNG/2025/078"/>
        <s v="TX/LNG/2025/079"/>
        <s v="TX/LNG/2025/080"/>
        <s v="TX/LNG/2025/081"/>
        <s v="TX/LNG/2025/082"/>
        <s v="TX/LNG/2025/083"/>
        <s v="TX/LNG/2025/084"/>
        <s v="TX/LNG/2025/085"/>
        <s v="TX/LNG/2025/086"/>
        <s v="TX/LNG/2025/087"/>
        <s v="TX/LNG/2025/088"/>
        <s v="TX/LNG/2025/089"/>
        <s v="TX/LNG/2025/090"/>
        <s v="TX/LNG/2025/091"/>
        <s v="TX/LNG/2025/092"/>
        <s v="TX/LNG/2025/093"/>
        <s v="TX/LNG/2025/094"/>
        <s v="TX/LNG/2025/095"/>
        <s v="TX/LNG/2025/096"/>
        <s v="TX/LNG/2025/097"/>
        <s v="TX/LNG/2025/098"/>
        <s v="TX/LNG/2025/099"/>
        <s v="TX/LNG/2025/100"/>
        <s v="TX/LNG/2025/101"/>
        <s v="TX/LNG/2025/102"/>
        <s v="TX/LNG/2025/103"/>
        <s v="TX/LNG/2025/104"/>
        <s v="TX/LNG/2025/105"/>
        <s v="TX/LNG/2025/106"/>
        <s v="TX/LNG/2025/107"/>
        <s v="TX/LNG/2025/108"/>
        <s v="TX/LNG/2025/109"/>
        <s v="TX/LNG/2025/110"/>
        <s v="TX/LNG/2025/111"/>
        <s v="TX/LNG/2025/112"/>
        <s v="TX/LNG/2025/113"/>
        <s v="TX/LNG/2025/114"/>
        <s v="TX/LNG/2025/115"/>
        <s v="TX/LNG/2025/116"/>
        <s v="TX/LNG/2025/117"/>
        <s v="TX/LNG/2025/118"/>
        <s v="TX/LNG/2025/119"/>
        <s v="TX/LNG/2025/120"/>
        <s v="TX/LNG/2026/121"/>
        <s v="TX/LNG/2026/122"/>
        <s v="TX/LNG/2026/123"/>
        <s v="TX/LNG/2026/124"/>
        <s v="TX/LNG/2026/125"/>
        <s v="TX/LNG/2026/126"/>
        <s v="TX/LNG/2026/127"/>
        <s v="TX/LNG/2026/128"/>
        <s v="TX/LNG/2026/129"/>
        <s v="TX/LNG/2026/130"/>
        <s v="TX/LNG/2026/131"/>
        <s v="TX/LNG/2026/132"/>
        <s v="TX/LNG/2026/133"/>
        <s v="TX/LNG/2026/134"/>
        <s v="TX/LNG/2026/135"/>
        <s v="TX/LNG/2026/136"/>
        <s v="TX/LNG/2026/137"/>
        <s v="TX/LNG/2026/138"/>
        <s v="TX/LNG/2026/139"/>
        <s v="TX/LNG/2026/140"/>
        <s v="TX/LNG/2026/141"/>
        <s v="TX/LNG/2026/142"/>
        <s v="TX/LNG/2026/143"/>
        <s v="TX/LNG/2026/144"/>
        <s v="TX/LNG/2026/145"/>
        <s v="TX/LNG/2026/146"/>
        <s v="TX/LNG/2026/147"/>
        <s v="TX/LNG/2026/148"/>
        <s v="TX/LNG/2026/149"/>
        <s v="TX/LNG/2026/150"/>
      </sharedItems>
    </cacheField>
    <cacheField name="Date Sampled" numFmtId="0">
      <sharedItems/>
    </cacheField>
    <cacheField name="Month" numFmtId="0">
      <sharedItems count="12">
        <s v="Jan"/>
        <s v="Feb"/>
        <s v="Mar"/>
        <s v="Apr"/>
        <s v="May"/>
        <s v="Jun"/>
        <s v="Jul"/>
        <s v="Aug"/>
        <s v="Sep"/>
        <s v="Oct"/>
        <s v="Nov"/>
        <s v="Dec"/>
      </sharedItems>
    </cacheField>
    <cacheField name="Year" numFmtId="0">
      <sharedItems count="3">
        <s v="2024"/>
        <s v="2025"/>
        <s v="2026"/>
      </sharedItems>
    </cacheField>
    <cacheField name="Product Code" numFmtId="0">
      <sharedItems count="2">
        <s v="LPG"/>
        <s v="Butane"/>
      </sharedItems>
    </cacheField>
    <cacheField name="Propane (%)" numFmtId="0">
      <sharedItems containsSemiMixedTypes="0" containsString="0" containsNumber="1" minValue="0.21" maxValue="23.98"/>
    </cacheField>
    <cacheField name="Isobutane (%)" numFmtId="0">
      <sharedItems containsSemiMixedTypes="0" containsString="0" containsNumber="1" minValue="21.56" maxValue="43.54"/>
    </cacheField>
    <cacheField name="n-Butane (%)" numFmtId="0">
      <sharedItems containsSemiMixedTypes="0" containsString="0" containsNumber="1" minValue="50.28" maxValue="71.97"/>
    </cacheField>
    <cacheField name="Vapour Pressure @ 37.8°C (bar)" numFmtId="0">
      <sharedItems containsSemiMixedTypes="0" containsString="0" containsNumber="1" minValue="2.96" maxValue="4.45"/>
    </cacheField>
    <cacheField name="Density @ 15°C" numFmtId="0">
      <sharedItems containsSemiMixedTypes="0" containsString="0" containsNumber="1" minValue="0.5554" maxValue="0.5917"/>
    </cacheField>
    <cacheField name="Propane P/F" numFmtId="0">
      <sharedItems/>
    </cacheField>
    <cacheField name="Isobutane P/F" numFmtId="0">
      <sharedItems/>
    </cacheField>
    <cacheField name="n-Butane P/F" numFmtId="0">
      <sharedItems/>
    </cacheField>
    <cacheField name="VP P/F" numFmtId="0">
      <sharedItems/>
    </cacheField>
    <cacheField name="Density P/F" numFmtId="0">
      <sharedItems/>
    </cacheField>
    <cacheField name="Overall Result" numFmtId="0">
      <sharedItems count="2">
        <s v="FAIL"/>
        <s v="PASS"/>
      </sharedItems>
    </cacheField>
    <cacheField name="PROPANE FAIL" numFmtId="0">
      <sharedItems containsSemiMixedTypes="0" containsString="0" containsNumber="1" containsInteger="1" minValue="0" maxValue="1"/>
    </cacheField>
    <cacheField name="ISOBUTANE FAIL" numFmtId="0">
      <sharedItems containsSemiMixedTypes="0" containsString="0" containsNumber="1" containsInteger="1" minValue="0" maxValue="0"/>
    </cacheField>
    <cacheField name="n BUTANE FAIL" numFmtId="0">
      <sharedItems containsSemiMixedTypes="0" containsString="0" containsNumber="1" containsInteger="1" minValue="0" maxValue="1"/>
    </cacheField>
    <cacheField name="VAPOUR PRESSURE FAIL" numFmtId="0">
      <sharedItems containsSemiMixedTypes="0" containsString="0" containsNumber="1" containsInteger="1" minValue="0" maxValue="0"/>
    </cacheField>
    <cacheField name="DENSITY FAIL"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11143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1">
  <r>
    <n v="1"/>
    <x v="0"/>
    <s v="01/01/2024"/>
    <x v="0"/>
    <s v="2024"/>
    <x v="0"/>
    <n v="9.94"/>
    <n v="23.51"/>
    <n v="52.25"/>
    <n v="4.18"/>
    <n v="0.5554"/>
    <s v="PASS"/>
    <s v="PASS"/>
    <s v="PASS"/>
    <s v="PASS"/>
    <s v="FAIL"/>
    <x v="0"/>
    <n v="0"/>
    <n v="0"/>
    <n v="0"/>
    <n v="0"/>
    <n v="1"/>
  </r>
  <r>
    <n v="2"/>
    <x v="1"/>
    <s v="04/01/2024"/>
    <x v="0"/>
    <s v="2024"/>
    <x v="0"/>
    <n v="9.7899999999999991"/>
    <n v="31.84"/>
    <n v="62.35"/>
    <n v="4.1500000000000004"/>
    <n v="0.57479999999999998"/>
    <s v="PASS"/>
    <s v="PASS"/>
    <s v="PASS"/>
    <s v="PASS"/>
    <s v="PASS"/>
    <x v="1"/>
    <n v="0"/>
    <n v="0"/>
    <n v="0"/>
    <n v="0"/>
    <n v="0"/>
  </r>
  <r>
    <n v="3"/>
    <x v="2"/>
    <s v="09/01/2024"/>
    <x v="0"/>
    <s v="2024"/>
    <x v="0"/>
    <n v="10.34"/>
    <n v="36.65"/>
    <n v="66.69"/>
    <n v="3.57"/>
    <n v="0.56810000000000005"/>
    <s v="PASS"/>
    <s v="PASS"/>
    <s v="PASS"/>
    <s v="PASS"/>
    <s v="PASS"/>
    <x v="1"/>
    <n v="0"/>
    <n v="0"/>
    <n v="0"/>
    <n v="0"/>
    <n v="0"/>
  </r>
  <r>
    <n v="4"/>
    <x v="3"/>
    <s v="21/01/2024"/>
    <x v="0"/>
    <s v="2024"/>
    <x v="0"/>
    <n v="16.16"/>
    <n v="22.84"/>
    <n v="58.36"/>
    <n v="3.78"/>
    <n v="0.55679999999999996"/>
    <s v="PASS"/>
    <s v="PASS"/>
    <s v="PASS"/>
    <s v="PASS"/>
    <s v="FAIL"/>
    <x v="0"/>
    <n v="0"/>
    <n v="0"/>
    <n v="0"/>
    <n v="0"/>
    <n v="1"/>
  </r>
  <r>
    <n v="5"/>
    <x v="4"/>
    <s v="24/01/2024"/>
    <x v="0"/>
    <s v="2024"/>
    <x v="1"/>
    <n v="0.27"/>
    <n v="43.38"/>
    <n v="54.71"/>
    <n v="3.02"/>
    <n v="0.58009999999999995"/>
    <s v="PASS"/>
    <s v="PASS"/>
    <s v="PASS"/>
    <s v="PASS"/>
    <s v="PASS"/>
    <x v="1"/>
    <n v="0"/>
    <n v="0"/>
    <n v="0"/>
    <n v="0"/>
    <n v="0"/>
  </r>
  <r>
    <n v="6"/>
    <x v="5"/>
    <s v="02/02/2024"/>
    <x v="1"/>
    <s v="2024"/>
    <x v="0"/>
    <n v="9.73"/>
    <n v="26.21"/>
    <n v="51.76"/>
    <n v="3.64"/>
    <n v="0.56040000000000001"/>
    <s v="PASS"/>
    <s v="PASS"/>
    <s v="PASS"/>
    <s v="PASS"/>
    <s v="PASS"/>
    <x v="1"/>
    <n v="0"/>
    <n v="0"/>
    <n v="0"/>
    <n v="0"/>
    <n v="0"/>
  </r>
  <r>
    <n v="7"/>
    <x v="6"/>
    <s v="03/02/2024"/>
    <x v="1"/>
    <s v="2024"/>
    <x v="0"/>
    <n v="11.38"/>
    <n v="27.66"/>
    <n v="54.61"/>
    <n v="3.68"/>
    <n v="0.58050000000000002"/>
    <s v="PASS"/>
    <s v="PASS"/>
    <s v="PASS"/>
    <s v="PASS"/>
    <s v="FAIL"/>
    <x v="0"/>
    <n v="0"/>
    <n v="0"/>
    <n v="0"/>
    <n v="0"/>
    <n v="1"/>
  </r>
  <r>
    <n v="8"/>
    <x v="7"/>
    <s v="07/02/2024"/>
    <x v="1"/>
    <s v="2024"/>
    <x v="0"/>
    <n v="9.0500000000000007"/>
    <n v="34.119999999999997"/>
    <n v="53.59"/>
    <n v="3.8"/>
    <n v="0.58169999999999999"/>
    <s v="PASS"/>
    <s v="PASS"/>
    <s v="PASS"/>
    <s v="PASS"/>
    <s v="FAIL"/>
    <x v="0"/>
    <n v="0"/>
    <n v="0"/>
    <n v="0"/>
    <n v="0"/>
    <n v="1"/>
  </r>
  <r>
    <n v="9"/>
    <x v="8"/>
    <s v="22/02/2024"/>
    <x v="1"/>
    <s v="2024"/>
    <x v="0"/>
    <n v="15.22"/>
    <n v="36.17"/>
    <n v="67.069999999999993"/>
    <n v="3.64"/>
    <n v="0.55879999999999996"/>
    <s v="PASS"/>
    <s v="PASS"/>
    <s v="PASS"/>
    <s v="PASS"/>
    <s v="FAIL"/>
    <x v="0"/>
    <n v="0"/>
    <n v="0"/>
    <n v="0"/>
    <n v="0"/>
    <n v="1"/>
  </r>
  <r>
    <n v="10"/>
    <x v="9"/>
    <s v="23/02/2024"/>
    <x v="1"/>
    <s v="2024"/>
    <x v="1"/>
    <n v="0.33"/>
    <n v="43.54"/>
    <n v="61.89"/>
    <n v="3.02"/>
    <n v="0.58050000000000002"/>
    <s v="PASS"/>
    <s v="PASS"/>
    <s v="PASS"/>
    <s v="PASS"/>
    <s v="PASS"/>
    <x v="1"/>
    <n v="0"/>
    <n v="0"/>
    <n v="0"/>
    <n v="0"/>
    <n v="0"/>
  </r>
  <r>
    <n v="11"/>
    <x v="10"/>
    <s v="05/03/2024"/>
    <x v="2"/>
    <s v="2024"/>
    <x v="0"/>
    <n v="13.74"/>
    <n v="25.73"/>
    <n v="62.86"/>
    <n v="4.34"/>
    <n v="0.56759999999999999"/>
    <s v="PASS"/>
    <s v="PASS"/>
    <s v="PASS"/>
    <s v="PASS"/>
    <s v="PASS"/>
    <x v="1"/>
    <n v="0"/>
    <n v="0"/>
    <n v="0"/>
    <n v="0"/>
    <n v="0"/>
  </r>
  <r>
    <n v="12"/>
    <x v="11"/>
    <s v="08/03/2024"/>
    <x v="2"/>
    <s v="2024"/>
    <x v="0"/>
    <n v="13.11"/>
    <n v="22.64"/>
    <n v="51.04"/>
    <n v="3.52"/>
    <n v="0.57310000000000005"/>
    <s v="PASS"/>
    <s v="PASS"/>
    <s v="PASS"/>
    <s v="PASS"/>
    <s v="PASS"/>
    <x v="1"/>
    <n v="0"/>
    <n v="0"/>
    <n v="0"/>
    <n v="0"/>
    <n v="0"/>
  </r>
  <r>
    <n v="13"/>
    <x v="12"/>
    <s v="09/03/2024"/>
    <x v="2"/>
    <s v="2024"/>
    <x v="0"/>
    <n v="7.76"/>
    <n v="27.87"/>
    <n v="71.91"/>
    <n v="3.96"/>
    <n v="0.55789999999999995"/>
    <s v="PASS"/>
    <s v="PASS"/>
    <s v="PASS"/>
    <s v="PASS"/>
    <s v="FAIL"/>
    <x v="0"/>
    <n v="0"/>
    <n v="0"/>
    <n v="0"/>
    <n v="0"/>
    <n v="1"/>
  </r>
  <r>
    <n v="14"/>
    <x v="13"/>
    <s v="15/03/2024"/>
    <x v="2"/>
    <s v="2024"/>
    <x v="0"/>
    <n v="15.18"/>
    <n v="30.67"/>
    <n v="55.87"/>
    <n v="4.07"/>
    <n v="0.56069999999999998"/>
    <s v="PASS"/>
    <s v="PASS"/>
    <s v="PASS"/>
    <s v="PASS"/>
    <s v="PASS"/>
    <x v="1"/>
    <n v="0"/>
    <n v="0"/>
    <n v="0"/>
    <n v="0"/>
    <n v="0"/>
  </r>
  <r>
    <n v="15"/>
    <x v="14"/>
    <s v="24/03/2024"/>
    <x v="2"/>
    <s v="2024"/>
    <x v="1"/>
    <n v="0.77"/>
    <n v="43.01"/>
    <n v="56.37"/>
    <n v="3.07"/>
    <n v="0.57289999999999996"/>
    <s v="PASS"/>
    <s v="PASS"/>
    <s v="PASS"/>
    <s v="PASS"/>
    <s v="PASS"/>
    <x v="1"/>
    <n v="0"/>
    <n v="0"/>
    <n v="0"/>
    <n v="0"/>
    <n v="0"/>
  </r>
  <r>
    <n v="16"/>
    <x v="15"/>
    <s v="10/04/2024"/>
    <x v="3"/>
    <s v="2024"/>
    <x v="0"/>
    <n v="9.39"/>
    <n v="27.73"/>
    <n v="53.55"/>
    <n v="4.4000000000000004"/>
    <n v="0.58009999999999995"/>
    <s v="PASS"/>
    <s v="PASS"/>
    <s v="PASS"/>
    <s v="PASS"/>
    <s v="FAIL"/>
    <x v="0"/>
    <n v="0"/>
    <n v="0"/>
    <n v="0"/>
    <n v="0"/>
    <n v="1"/>
  </r>
  <r>
    <n v="17"/>
    <x v="16"/>
    <s v="17/04/2024"/>
    <x v="3"/>
    <s v="2024"/>
    <x v="0"/>
    <n v="12.86"/>
    <n v="23.01"/>
    <n v="57.99"/>
    <n v="4.43"/>
    <n v="0.57740000000000002"/>
    <s v="PASS"/>
    <s v="PASS"/>
    <s v="PASS"/>
    <s v="PASS"/>
    <s v="PASS"/>
    <x v="1"/>
    <n v="0"/>
    <n v="0"/>
    <n v="0"/>
    <n v="0"/>
    <n v="0"/>
  </r>
  <r>
    <n v="18"/>
    <x v="17"/>
    <s v="20/04/2024"/>
    <x v="3"/>
    <s v="2024"/>
    <x v="0"/>
    <n v="13.81"/>
    <n v="22.42"/>
    <n v="66.099999999999994"/>
    <n v="4.26"/>
    <n v="0.58150000000000002"/>
    <s v="PASS"/>
    <s v="PASS"/>
    <s v="PASS"/>
    <s v="PASS"/>
    <s v="FAIL"/>
    <x v="0"/>
    <n v="0"/>
    <n v="0"/>
    <n v="0"/>
    <n v="0"/>
    <n v="1"/>
  </r>
  <r>
    <n v="19"/>
    <x v="18"/>
    <s v="21/04/2024"/>
    <x v="3"/>
    <s v="2024"/>
    <x v="0"/>
    <n v="14.92"/>
    <n v="38.04"/>
    <n v="53.63"/>
    <n v="3.95"/>
    <n v="0.5726"/>
    <s v="PASS"/>
    <s v="PASS"/>
    <s v="PASS"/>
    <s v="PASS"/>
    <s v="PASS"/>
    <x v="1"/>
    <n v="0"/>
    <n v="0"/>
    <n v="0"/>
    <n v="0"/>
    <n v="0"/>
  </r>
  <r>
    <n v="20"/>
    <x v="19"/>
    <s v="27/04/2024"/>
    <x v="3"/>
    <s v="2024"/>
    <x v="1"/>
    <n v="0.65"/>
    <n v="41.52"/>
    <n v="60.42"/>
    <n v="3.04"/>
    <n v="0.58069999999999999"/>
    <s v="PASS"/>
    <s v="PASS"/>
    <s v="PASS"/>
    <s v="PASS"/>
    <s v="PASS"/>
    <x v="1"/>
    <n v="0"/>
    <n v="0"/>
    <n v="0"/>
    <n v="0"/>
    <n v="0"/>
  </r>
  <r>
    <n v="21"/>
    <x v="20"/>
    <s v="03/05/2024"/>
    <x v="4"/>
    <s v="2024"/>
    <x v="0"/>
    <n v="7.25"/>
    <n v="30.97"/>
    <n v="62.95"/>
    <n v="3.41"/>
    <n v="0.57499999999999996"/>
    <s v="PASS"/>
    <s v="PASS"/>
    <s v="PASS"/>
    <s v="PASS"/>
    <s v="PASS"/>
    <x v="1"/>
    <n v="0"/>
    <n v="0"/>
    <n v="0"/>
    <n v="0"/>
    <n v="0"/>
  </r>
  <r>
    <n v="22"/>
    <x v="21"/>
    <s v="04/05/2024"/>
    <x v="4"/>
    <s v="2024"/>
    <x v="0"/>
    <n v="7.38"/>
    <n v="26.95"/>
    <n v="61.31"/>
    <n v="3.69"/>
    <n v="0.5696"/>
    <s v="PASS"/>
    <s v="PASS"/>
    <s v="PASS"/>
    <s v="PASS"/>
    <s v="PASS"/>
    <x v="1"/>
    <n v="0"/>
    <n v="0"/>
    <n v="0"/>
    <n v="0"/>
    <n v="0"/>
  </r>
  <r>
    <n v="23"/>
    <x v="22"/>
    <s v="08/05/2024"/>
    <x v="4"/>
    <s v="2024"/>
    <x v="0"/>
    <n v="17.59"/>
    <n v="31.37"/>
    <n v="55.35"/>
    <n v="3.9"/>
    <n v="0.56779999999999997"/>
    <s v="PASS"/>
    <s v="PASS"/>
    <s v="PASS"/>
    <s v="PASS"/>
    <s v="PASS"/>
    <x v="1"/>
    <n v="0"/>
    <n v="0"/>
    <n v="0"/>
    <n v="0"/>
    <n v="0"/>
  </r>
  <r>
    <n v="24"/>
    <x v="23"/>
    <s v="11/05/2024"/>
    <x v="4"/>
    <s v="2024"/>
    <x v="0"/>
    <n v="11.25"/>
    <n v="28.4"/>
    <n v="69"/>
    <n v="3.46"/>
    <n v="0.57369999999999999"/>
    <s v="PASS"/>
    <s v="PASS"/>
    <s v="PASS"/>
    <s v="PASS"/>
    <s v="PASS"/>
    <x v="1"/>
    <n v="0"/>
    <n v="0"/>
    <n v="0"/>
    <n v="0"/>
    <n v="0"/>
  </r>
  <r>
    <n v="25"/>
    <x v="24"/>
    <s v="15/05/2024"/>
    <x v="4"/>
    <s v="2024"/>
    <x v="1"/>
    <n v="0.64"/>
    <n v="42.4"/>
    <n v="66.73"/>
    <n v="2.99"/>
    <n v="0.5786"/>
    <s v="PASS"/>
    <s v="PASS"/>
    <s v="FAIL"/>
    <s v="PASS"/>
    <s v="PASS"/>
    <x v="0"/>
    <n v="0"/>
    <n v="0"/>
    <n v="1"/>
    <n v="0"/>
    <n v="0"/>
  </r>
  <r>
    <n v="26"/>
    <x v="25"/>
    <s v="03/06/2024"/>
    <x v="5"/>
    <s v="2024"/>
    <x v="0"/>
    <n v="17.34"/>
    <n v="30.91"/>
    <n v="51.11"/>
    <n v="4.45"/>
    <n v="0.57809999999999995"/>
    <s v="PASS"/>
    <s v="PASS"/>
    <s v="PASS"/>
    <s v="PASS"/>
    <s v="PASS"/>
    <x v="1"/>
    <n v="0"/>
    <n v="0"/>
    <n v="0"/>
    <n v="0"/>
    <n v="0"/>
  </r>
  <r>
    <n v="27"/>
    <x v="26"/>
    <s v="15/06/2024"/>
    <x v="5"/>
    <s v="2024"/>
    <x v="0"/>
    <n v="17.18"/>
    <n v="23.99"/>
    <n v="60.68"/>
    <n v="3.62"/>
    <n v="0.56759999999999999"/>
    <s v="PASS"/>
    <s v="PASS"/>
    <s v="PASS"/>
    <s v="PASS"/>
    <s v="PASS"/>
    <x v="1"/>
    <n v="0"/>
    <n v="0"/>
    <n v="0"/>
    <n v="0"/>
    <n v="0"/>
  </r>
  <r>
    <n v="28"/>
    <x v="27"/>
    <s v="26/06/2024"/>
    <x v="5"/>
    <s v="2024"/>
    <x v="0"/>
    <n v="18.82"/>
    <n v="25.77"/>
    <n v="67.25"/>
    <n v="3.88"/>
    <n v="0.56820000000000004"/>
    <s v="PASS"/>
    <s v="PASS"/>
    <s v="PASS"/>
    <s v="PASS"/>
    <s v="PASS"/>
    <x v="1"/>
    <n v="0"/>
    <n v="0"/>
    <n v="0"/>
    <n v="0"/>
    <n v="0"/>
  </r>
  <r>
    <n v="29"/>
    <x v="28"/>
    <s v="28/06/2024"/>
    <x v="5"/>
    <s v="2024"/>
    <x v="0"/>
    <n v="13.67"/>
    <n v="33.93"/>
    <n v="53.41"/>
    <n v="3.71"/>
    <n v="0.58120000000000005"/>
    <s v="PASS"/>
    <s v="PASS"/>
    <s v="PASS"/>
    <s v="PASS"/>
    <s v="FAIL"/>
    <x v="0"/>
    <n v="0"/>
    <n v="0"/>
    <n v="0"/>
    <n v="0"/>
    <n v="1"/>
  </r>
  <r>
    <n v="30"/>
    <x v="29"/>
    <s v="30/06/2024"/>
    <x v="5"/>
    <s v="2024"/>
    <x v="1"/>
    <n v="0.65"/>
    <n v="36.46"/>
    <n v="59.26"/>
    <n v="3.07"/>
    <n v="0.58360000000000001"/>
    <s v="PASS"/>
    <s v="PASS"/>
    <s v="PASS"/>
    <s v="PASS"/>
    <s v="PASS"/>
    <x v="1"/>
    <n v="0"/>
    <n v="0"/>
    <n v="0"/>
    <n v="0"/>
    <n v="0"/>
  </r>
  <r>
    <n v="31"/>
    <x v="30"/>
    <s v="03/07/2024"/>
    <x v="6"/>
    <s v="2024"/>
    <x v="0"/>
    <n v="21.33"/>
    <n v="28.27"/>
    <n v="70.72"/>
    <n v="4"/>
    <n v="0.57189999999999996"/>
    <s v="FAIL"/>
    <s v="PASS"/>
    <s v="PASS"/>
    <s v="PASS"/>
    <s v="PASS"/>
    <x v="0"/>
    <n v="1"/>
    <n v="0"/>
    <n v="0"/>
    <n v="0"/>
    <n v="0"/>
  </r>
  <r>
    <n v="32"/>
    <x v="31"/>
    <s v="06/07/2024"/>
    <x v="6"/>
    <s v="2024"/>
    <x v="0"/>
    <n v="13.78"/>
    <n v="26.69"/>
    <n v="55.74"/>
    <n v="4.0999999999999996"/>
    <n v="0.5655"/>
    <s v="PASS"/>
    <s v="PASS"/>
    <s v="PASS"/>
    <s v="PASS"/>
    <s v="PASS"/>
    <x v="1"/>
    <n v="0"/>
    <n v="0"/>
    <n v="0"/>
    <n v="0"/>
    <n v="0"/>
  </r>
  <r>
    <n v="33"/>
    <x v="32"/>
    <s v="20/07/2024"/>
    <x v="6"/>
    <s v="2024"/>
    <x v="0"/>
    <n v="14.75"/>
    <n v="29.23"/>
    <n v="70.44"/>
    <n v="4.38"/>
    <n v="0.55820000000000003"/>
    <s v="PASS"/>
    <s v="PASS"/>
    <s v="PASS"/>
    <s v="PASS"/>
    <s v="FAIL"/>
    <x v="0"/>
    <n v="0"/>
    <n v="0"/>
    <n v="0"/>
    <n v="0"/>
    <n v="1"/>
  </r>
  <r>
    <n v="34"/>
    <x v="33"/>
    <s v="22/07/2024"/>
    <x v="6"/>
    <s v="2024"/>
    <x v="0"/>
    <n v="8.1999999999999993"/>
    <n v="30.68"/>
    <n v="61.13"/>
    <n v="3.54"/>
    <n v="0.56640000000000001"/>
    <s v="PASS"/>
    <s v="PASS"/>
    <s v="PASS"/>
    <s v="PASS"/>
    <s v="PASS"/>
    <x v="1"/>
    <n v="0"/>
    <n v="0"/>
    <n v="0"/>
    <n v="0"/>
    <n v="0"/>
  </r>
  <r>
    <n v="35"/>
    <x v="34"/>
    <s v="28/07/2024"/>
    <x v="6"/>
    <s v="2024"/>
    <x v="1"/>
    <n v="0.37"/>
    <n v="39.51"/>
    <n v="58.89"/>
    <n v="3.02"/>
    <n v="0.5857"/>
    <s v="PASS"/>
    <s v="PASS"/>
    <s v="PASS"/>
    <s v="PASS"/>
    <s v="FAIL"/>
    <x v="0"/>
    <n v="0"/>
    <n v="0"/>
    <n v="0"/>
    <n v="0"/>
    <n v="1"/>
  </r>
  <r>
    <n v="36"/>
    <x v="35"/>
    <s v="10/08/2024"/>
    <x v="7"/>
    <s v="2024"/>
    <x v="0"/>
    <n v="14.96"/>
    <n v="37.9"/>
    <n v="52.95"/>
    <n v="3.52"/>
    <n v="0.56059999999999999"/>
    <s v="PASS"/>
    <s v="PASS"/>
    <s v="PASS"/>
    <s v="PASS"/>
    <s v="PASS"/>
    <x v="1"/>
    <n v="0"/>
    <n v="0"/>
    <n v="0"/>
    <n v="0"/>
    <n v="0"/>
  </r>
  <r>
    <n v="37"/>
    <x v="36"/>
    <s v="18/08/2024"/>
    <x v="7"/>
    <s v="2024"/>
    <x v="0"/>
    <n v="14.26"/>
    <n v="33.92"/>
    <n v="54.48"/>
    <n v="4.07"/>
    <n v="0.56430000000000002"/>
    <s v="PASS"/>
    <s v="PASS"/>
    <s v="PASS"/>
    <s v="PASS"/>
    <s v="PASS"/>
    <x v="1"/>
    <n v="0"/>
    <n v="0"/>
    <n v="0"/>
    <n v="0"/>
    <n v="0"/>
  </r>
  <r>
    <n v="38"/>
    <x v="37"/>
    <s v="22/08/2024"/>
    <x v="7"/>
    <s v="2024"/>
    <x v="0"/>
    <n v="17.149999999999999"/>
    <n v="22.66"/>
    <n v="59.32"/>
    <n v="3.69"/>
    <n v="0.55810000000000004"/>
    <s v="PASS"/>
    <s v="PASS"/>
    <s v="PASS"/>
    <s v="PASS"/>
    <s v="FAIL"/>
    <x v="0"/>
    <n v="0"/>
    <n v="0"/>
    <n v="0"/>
    <n v="0"/>
    <n v="1"/>
  </r>
  <r>
    <n v="39"/>
    <x v="38"/>
    <s v="27/08/2024"/>
    <x v="7"/>
    <s v="2024"/>
    <x v="0"/>
    <n v="10.14"/>
    <n v="34.340000000000003"/>
    <n v="62.14"/>
    <n v="3.85"/>
    <n v="0.55820000000000003"/>
    <s v="PASS"/>
    <s v="PASS"/>
    <s v="PASS"/>
    <s v="PASS"/>
    <s v="FAIL"/>
    <x v="0"/>
    <n v="0"/>
    <n v="0"/>
    <n v="0"/>
    <n v="0"/>
    <n v="1"/>
  </r>
  <r>
    <n v="40"/>
    <x v="39"/>
    <s v="30/08/2024"/>
    <x v="7"/>
    <s v="2024"/>
    <x v="1"/>
    <n v="0.74"/>
    <n v="40.36"/>
    <n v="67.23"/>
    <n v="3.08"/>
    <n v="0.57240000000000002"/>
    <s v="PASS"/>
    <s v="PASS"/>
    <s v="FAIL"/>
    <s v="PASS"/>
    <s v="PASS"/>
    <x v="0"/>
    <n v="0"/>
    <n v="0"/>
    <n v="1"/>
    <n v="0"/>
    <n v="0"/>
  </r>
  <r>
    <n v="41"/>
    <x v="40"/>
    <s v="02/09/2024"/>
    <x v="8"/>
    <s v="2024"/>
    <x v="0"/>
    <n v="9.52"/>
    <n v="25.49"/>
    <n v="52.26"/>
    <n v="4.22"/>
    <n v="0.57920000000000005"/>
    <s v="PASS"/>
    <s v="PASS"/>
    <s v="PASS"/>
    <s v="PASS"/>
    <s v="PASS"/>
    <x v="1"/>
    <n v="0"/>
    <n v="0"/>
    <n v="0"/>
    <n v="0"/>
    <n v="0"/>
  </r>
  <r>
    <n v="42"/>
    <x v="41"/>
    <s v="12/09/2024"/>
    <x v="8"/>
    <s v="2024"/>
    <x v="0"/>
    <n v="8.85"/>
    <n v="37.74"/>
    <n v="69.02"/>
    <n v="4.43"/>
    <n v="0.55789999999999995"/>
    <s v="PASS"/>
    <s v="PASS"/>
    <s v="PASS"/>
    <s v="PASS"/>
    <s v="FAIL"/>
    <x v="0"/>
    <n v="0"/>
    <n v="0"/>
    <n v="0"/>
    <n v="0"/>
    <n v="1"/>
  </r>
  <r>
    <n v="43"/>
    <x v="42"/>
    <s v="26/09/2024"/>
    <x v="8"/>
    <s v="2024"/>
    <x v="0"/>
    <n v="10.99"/>
    <n v="37.75"/>
    <n v="67.650000000000006"/>
    <n v="4.3099999999999996"/>
    <n v="0.57750000000000001"/>
    <s v="PASS"/>
    <s v="PASS"/>
    <s v="PASS"/>
    <s v="PASS"/>
    <s v="PASS"/>
    <x v="1"/>
    <n v="0"/>
    <n v="0"/>
    <n v="0"/>
    <n v="0"/>
    <n v="0"/>
  </r>
  <r>
    <n v="44"/>
    <x v="43"/>
    <s v="28/09/2024"/>
    <x v="8"/>
    <s v="2024"/>
    <x v="0"/>
    <n v="8.3000000000000007"/>
    <n v="36.700000000000003"/>
    <n v="68.89"/>
    <n v="3.63"/>
    <n v="0.5776"/>
    <s v="PASS"/>
    <s v="PASS"/>
    <s v="PASS"/>
    <s v="PASS"/>
    <s v="PASS"/>
    <x v="1"/>
    <n v="0"/>
    <n v="0"/>
    <n v="0"/>
    <n v="0"/>
    <n v="0"/>
  </r>
  <r>
    <n v="45"/>
    <x v="44"/>
    <s v="29/09/2024"/>
    <x v="8"/>
    <s v="2024"/>
    <x v="1"/>
    <n v="0.68"/>
    <n v="37.82"/>
    <n v="54.21"/>
    <n v="2.99"/>
    <n v="0.57530000000000003"/>
    <s v="PASS"/>
    <s v="PASS"/>
    <s v="PASS"/>
    <s v="PASS"/>
    <s v="PASS"/>
    <x v="1"/>
    <n v="0"/>
    <n v="0"/>
    <n v="0"/>
    <n v="0"/>
    <n v="0"/>
  </r>
  <r>
    <n v="46"/>
    <x v="45"/>
    <s v="09/10/2024"/>
    <x v="9"/>
    <s v="2024"/>
    <x v="0"/>
    <n v="15.15"/>
    <n v="36.19"/>
    <n v="57.29"/>
    <n v="3.43"/>
    <n v="0.57899999999999996"/>
    <s v="PASS"/>
    <s v="PASS"/>
    <s v="PASS"/>
    <s v="PASS"/>
    <s v="PASS"/>
    <x v="1"/>
    <n v="0"/>
    <n v="0"/>
    <n v="0"/>
    <n v="0"/>
    <n v="0"/>
  </r>
  <r>
    <n v="47"/>
    <x v="46"/>
    <s v="12/10/2024"/>
    <x v="9"/>
    <s v="2024"/>
    <x v="0"/>
    <n v="18.8"/>
    <n v="21.69"/>
    <n v="63.12"/>
    <n v="3.76"/>
    <n v="0.57689999999999997"/>
    <s v="PASS"/>
    <s v="PASS"/>
    <s v="PASS"/>
    <s v="PASS"/>
    <s v="PASS"/>
    <x v="1"/>
    <n v="0"/>
    <n v="0"/>
    <n v="0"/>
    <n v="0"/>
    <n v="0"/>
  </r>
  <r>
    <n v="48"/>
    <x v="47"/>
    <s v="13/10/2024"/>
    <x v="9"/>
    <s v="2024"/>
    <x v="0"/>
    <n v="8.39"/>
    <n v="37.19"/>
    <n v="54.18"/>
    <n v="3.45"/>
    <n v="0.56850000000000001"/>
    <s v="PASS"/>
    <s v="PASS"/>
    <s v="PASS"/>
    <s v="PASS"/>
    <s v="PASS"/>
    <x v="1"/>
    <n v="0"/>
    <n v="0"/>
    <n v="0"/>
    <n v="0"/>
    <n v="0"/>
  </r>
  <r>
    <n v="49"/>
    <x v="48"/>
    <s v="17/10/2024"/>
    <x v="9"/>
    <s v="2024"/>
    <x v="0"/>
    <n v="15.24"/>
    <n v="37.92"/>
    <n v="66.209999999999994"/>
    <n v="3.61"/>
    <n v="0.56840000000000002"/>
    <s v="PASS"/>
    <s v="PASS"/>
    <s v="PASS"/>
    <s v="PASS"/>
    <s v="PASS"/>
    <x v="1"/>
    <n v="0"/>
    <n v="0"/>
    <n v="0"/>
    <n v="0"/>
    <n v="0"/>
  </r>
  <r>
    <n v="50"/>
    <x v="49"/>
    <s v="21/10/2024"/>
    <x v="9"/>
    <s v="2024"/>
    <x v="1"/>
    <n v="0.56999999999999995"/>
    <n v="41.31"/>
    <n v="55.12"/>
    <n v="3.16"/>
    <n v="0.57809999999999995"/>
    <s v="PASS"/>
    <s v="PASS"/>
    <s v="PASS"/>
    <s v="PASS"/>
    <s v="PASS"/>
    <x v="1"/>
    <n v="0"/>
    <n v="0"/>
    <n v="0"/>
    <n v="0"/>
    <n v="0"/>
  </r>
  <r>
    <n v="51"/>
    <x v="50"/>
    <s v="05/11/2024"/>
    <x v="10"/>
    <s v="2024"/>
    <x v="0"/>
    <n v="12.05"/>
    <n v="37.93"/>
    <n v="64.900000000000006"/>
    <n v="4.3499999999999996"/>
    <n v="0.57279999999999998"/>
    <s v="PASS"/>
    <s v="PASS"/>
    <s v="PASS"/>
    <s v="PASS"/>
    <s v="PASS"/>
    <x v="1"/>
    <n v="0"/>
    <n v="0"/>
    <n v="0"/>
    <n v="0"/>
    <n v="0"/>
  </r>
  <r>
    <n v="52"/>
    <x v="51"/>
    <s v="07/11/2024"/>
    <x v="10"/>
    <s v="2024"/>
    <x v="0"/>
    <n v="7"/>
    <n v="26.16"/>
    <n v="59.46"/>
    <n v="4.01"/>
    <n v="0.57369999999999999"/>
    <s v="PASS"/>
    <s v="PASS"/>
    <s v="PASS"/>
    <s v="PASS"/>
    <s v="PASS"/>
    <x v="1"/>
    <n v="0"/>
    <n v="0"/>
    <n v="0"/>
    <n v="0"/>
    <n v="0"/>
  </r>
  <r>
    <n v="53"/>
    <x v="52"/>
    <s v="10/11/2024"/>
    <x v="10"/>
    <s v="2024"/>
    <x v="0"/>
    <n v="9.56"/>
    <n v="29.52"/>
    <n v="69.83"/>
    <n v="4.24"/>
    <n v="0.56210000000000004"/>
    <s v="PASS"/>
    <s v="PASS"/>
    <s v="PASS"/>
    <s v="PASS"/>
    <s v="PASS"/>
    <x v="1"/>
    <n v="0"/>
    <n v="0"/>
    <n v="0"/>
    <n v="0"/>
    <n v="0"/>
  </r>
  <r>
    <n v="54"/>
    <x v="53"/>
    <s v="18/11/2024"/>
    <x v="10"/>
    <s v="2024"/>
    <x v="0"/>
    <n v="14.6"/>
    <n v="27.03"/>
    <n v="68.010000000000005"/>
    <n v="4.1900000000000004"/>
    <n v="0.57410000000000005"/>
    <s v="PASS"/>
    <s v="PASS"/>
    <s v="PASS"/>
    <s v="PASS"/>
    <s v="PASS"/>
    <x v="1"/>
    <n v="0"/>
    <n v="0"/>
    <n v="0"/>
    <n v="0"/>
    <n v="0"/>
  </r>
  <r>
    <n v="55"/>
    <x v="54"/>
    <s v="23/11/2024"/>
    <x v="10"/>
    <s v="2024"/>
    <x v="1"/>
    <n v="0.21"/>
    <n v="37.96"/>
    <n v="58.28"/>
    <n v="3.15"/>
    <n v="0.57120000000000004"/>
    <s v="PASS"/>
    <s v="PASS"/>
    <s v="PASS"/>
    <s v="PASS"/>
    <s v="FAIL"/>
    <x v="0"/>
    <n v="0"/>
    <n v="0"/>
    <n v="0"/>
    <n v="0"/>
    <n v="1"/>
  </r>
  <r>
    <n v="56"/>
    <x v="55"/>
    <s v="07/12/2024"/>
    <x v="11"/>
    <s v="2024"/>
    <x v="0"/>
    <n v="8.77"/>
    <n v="33.380000000000003"/>
    <n v="69.64"/>
    <n v="4.3"/>
    <n v="0.57930000000000004"/>
    <s v="PASS"/>
    <s v="PASS"/>
    <s v="PASS"/>
    <s v="PASS"/>
    <s v="PASS"/>
    <x v="1"/>
    <n v="0"/>
    <n v="0"/>
    <n v="0"/>
    <n v="0"/>
    <n v="0"/>
  </r>
  <r>
    <n v="57"/>
    <x v="56"/>
    <s v="08/12/2024"/>
    <x v="11"/>
    <s v="2024"/>
    <x v="0"/>
    <n v="16.649999999999999"/>
    <n v="33.53"/>
    <n v="60.22"/>
    <n v="3.99"/>
    <n v="0.57999999999999996"/>
    <s v="PASS"/>
    <s v="PASS"/>
    <s v="PASS"/>
    <s v="PASS"/>
    <s v="PASS"/>
    <x v="1"/>
    <n v="0"/>
    <n v="0"/>
    <n v="0"/>
    <n v="0"/>
    <n v="0"/>
  </r>
  <r>
    <n v="58"/>
    <x v="57"/>
    <s v="13/12/2024"/>
    <x v="11"/>
    <s v="2024"/>
    <x v="0"/>
    <n v="12.58"/>
    <n v="30.56"/>
    <n v="62.3"/>
    <n v="3.73"/>
    <n v="0.57609999999999995"/>
    <s v="PASS"/>
    <s v="PASS"/>
    <s v="PASS"/>
    <s v="PASS"/>
    <s v="PASS"/>
    <x v="1"/>
    <n v="0"/>
    <n v="0"/>
    <n v="0"/>
    <n v="0"/>
    <n v="0"/>
  </r>
  <r>
    <n v="59"/>
    <x v="58"/>
    <s v="16/12/2024"/>
    <x v="11"/>
    <s v="2024"/>
    <x v="0"/>
    <n v="17.7"/>
    <n v="28.68"/>
    <n v="69.95"/>
    <n v="3.87"/>
    <n v="0.56179999999999997"/>
    <s v="PASS"/>
    <s v="PASS"/>
    <s v="PASS"/>
    <s v="PASS"/>
    <s v="PASS"/>
    <x v="1"/>
    <n v="0"/>
    <n v="0"/>
    <n v="0"/>
    <n v="0"/>
    <n v="0"/>
  </r>
  <r>
    <n v="60"/>
    <x v="59"/>
    <s v="23/12/2024"/>
    <x v="11"/>
    <s v="2024"/>
    <x v="1"/>
    <n v="0.65"/>
    <n v="42.72"/>
    <n v="56.5"/>
    <n v="3.13"/>
    <n v="0.57779999999999998"/>
    <s v="PASS"/>
    <s v="PASS"/>
    <s v="PASS"/>
    <s v="PASS"/>
    <s v="PASS"/>
    <x v="1"/>
    <n v="0"/>
    <n v="0"/>
    <n v="0"/>
    <n v="0"/>
    <n v="0"/>
  </r>
  <r>
    <n v="61"/>
    <x v="60"/>
    <s v="08/01/2025"/>
    <x v="0"/>
    <s v="2025"/>
    <x v="0"/>
    <n v="10.84"/>
    <n v="30.72"/>
    <n v="53.04"/>
    <n v="3.64"/>
    <n v="0.57469999999999999"/>
    <s v="PASS"/>
    <s v="PASS"/>
    <s v="PASS"/>
    <s v="PASS"/>
    <s v="PASS"/>
    <x v="1"/>
    <n v="0"/>
    <n v="0"/>
    <n v="0"/>
    <n v="0"/>
    <n v="0"/>
  </r>
  <r>
    <n v="62"/>
    <x v="61"/>
    <s v="09/01/2025"/>
    <x v="0"/>
    <s v="2025"/>
    <x v="0"/>
    <n v="11.89"/>
    <n v="30.77"/>
    <n v="59.15"/>
    <n v="3.62"/>
    <n v="0.56810000000000005"/>
    <s v="PASS"/>
    <s v="PASS"/>
    <s v="PASS"/>
    <s v="PASS"/>
    <s v="PASS"/>
    <x v="1"/>
    <n v="0"/>
    <n v="0"/>
    <n v="0"/>
    <n v="0"/>
    <n v="0"/>
  </r>
  <r>
    <n v="63"/>
    <x v="62"/>
    <s v="10/01/2025"/>
    <x v="0"/>
    <s v="2025"/>
    <x v="0"/>
    <n v="15.35"/>
    <n v="36.42"/>
    <n v="66.84"/>
    <n v="3.8"/>
    <n v="0.55810000000000004"/>
    <s v="PASS"/>
    <s v="PASS"/>
    <s v="PASS"/>
    <s v="PASS"/>
    <s v="FAIL"/>
    <x v="0"/>
    <n v="0"/>
    <n v="0"/>
    <n v="0"/>
    <n v="0"/>
    <n v="1"/>
  </r>
  <r>
    <n v="64"/>
    <x v="63"/>
    <s v="11/01/2025"/>
    <x v="0"/>
    <s v="2025"/>
    <x v="0"/>
    <n v="17.239999999999998"/>
    <n v="38.159999999999997"/>
    <n v="59.22"/>
    <n v="4.18"/>
    <n v="0.57110000000000005"/>
    <s v="PASS"/>
    <s v="PASS"/>
    <s v="PASS"/>
    <s v="PASS"/>
    <s v="PASS"/>
    <x v="1"/>
    <n v="0"/>
    <n v="0"/>
    <n v="0"/>
    <n v="0"/>
    <n v="0"/>
  </r>
  <r>
    <n v="65"/>
    <x v="64"/>
    <s v="23/01/2025"/>
    <x v="0"/>
    <s v="2025"/>
    <x v="1"/>
    <n v="0.33"/>
    <n v="39.49"/>
    <n v="54.26"/>
    <n v="3.03"/>
    <n v="0.58089999999999997"/>
    <s v="PASS"/>
    <s v="PASS"/>
    <s v="PASS"/>
    <s v="PASS"/>
    <s v="PASS"/>
    <x v="1"/>
    <n v="0"/>
    <n v="0"/>
    <n v="0"/>
    <n v="0"/>
    <n v="0"/>
  </r>
  <r>
    <n v="66"/>
    <x v="65"/>
    <s v="01/02/2025"/>
    <x v="1"/>
    <s v="2025"/>
    <x v="0"/>
    <n v="17.88"/>
    <n v="31.65"/>
    <n v="64.59"/>
    <n v="3.49"/>
    <n v="0.56830000000000003"/>
    <s v="PASS"/>
    <s v="PASS"/>
    <s v="PASS"/>
    <s v="PASS"/>
    <s v="PASS"/>
    <x v="1"/>
    <n v="0"/>
    <n v="0"/>
    <n v="0"/>
    <n v="0"/>
    <n v="0"/>
  </r>
  <r>
    <n v="67"/>
    <x v="66"/>
    <s v="05/02/2025"/>
    <x v="1"/>
    <s v="2025"/>
    <x v="0"/>
    <n v="10.119999999999999"/>
    <n v="26.89"/>
    <n v="60"/>
    <n v="3.75"/>
    <n v="0.57909999999999995"/>
    <s v="PASS"/>
    <s v="PASS"/>
    <s v="PASS"/>
    <s v="PASS"/>
    <s v="PASS"/>
    <x v="1"/>
    <n v="0"/>
    <n v="0"/>
    <n v="0"/>
    <n v="0"/>
    <n v="0"/>
  </r>
  <r>
    <n v="68"/>
    <x v="67"/>
    <s v="15/02/2025"/>
    <x v="1"/>
    <s v="2025"/>
    <x v="0"/>
    <n v="12.06"/>
    <n v="36.03"/>
    <n v="60.35"/>
    <n v="4.1900000000000004"/>
    <n v="0.55930000000000002"/>
    <s v="PASS"/>
    <s v="PASS"/>
    <s v="PASS"/>
    <s v="PASS"/>
    <s v="FAIL"/>
    <x v="0"/>
    <n v="0"/>
    <n v="0"/>
    <n v="0"/>
    <n v="0"/>
    <n v="1"/>
  </r>
  <r>
    <n v="69"/>
    <x v="68"/>
    <s v="18/02/2025"/>
    <x v="1"/>
    <s v="2025"/>
    <x v="0"/>
    <n v="7.82"/>
    <n v="38.229999999999997"/>
    <n v="50.89"/>
    <n v="3.43"/>
    <n v="0.56389999999999996"/>
    <s v="PASS"/>
    <s v="PASS"/>
    <s v="PASS"/>
    <s v="PASS"/>
    <s v="PASS"/>
    <x v="1"/>
    <n v="0"/>
    <n v="0"/>
    <n v="0"/>
    <n v="0"/>
    <n v="0"/>
  </r>
  <r>
    <n v="70"/>
    <x v="69"/>
    <s v="20/02/2025"/>
    <x v="1"/>
    <s v="2025"/>
    <x v="1"/>
    <n v="0.34"/>
    <n v="39.79"/>
    <n v="55.03"/>
    <n v="3.17"/>
    <n v="0.57740000000000002"/>
    <s v="PASS"/>
    <s v="PASS"/>
    <s v="PASS"/>
    <s v="PASS"/>
    <s v="PASS"/>
    <x v="1"/>
    <n v="0"/>
    <n v="0"/>
    <n v="0"/>
    <n v="0"/>
    <n v="0"/>
  </r>
  <r>
    <n v="71"/>
    <x v="70"/>
    <s v="04/03/2025"/>
    <x v="2"/>
    <s v="2025"/>
    <x v="0"/>
    <n v="16.329999999999998"/>
    <n v="23.95"/>
    <n v="56.84"/>
    <n v="4.01"/>
    <n v="0.58030000000000004"/>
    <s v="PASS"/>
    <s v="PASS"/>
    <s v="PASS"/>
    <s v="PASS"/>
    <s v="FAIL"/>
    <x v="0"/>
    <n v="0"/>
    <n v="0"/>
    <n v="0"/>
    <n v="0"/>
    <n v="1"/>
  </r>
  <r>
    <n v="72"/>
    <x v="71"/>
    <s v="20/03/2025"/>
    <x v="2"/>
    <s v="2025"/>
    <x v="0"/>
    <n v="11.5"/>
    <n v="37.950000000000003"/>
    <n v="54.36"/>
    <n v="4.0199999999999996"/>
    <n v="0.57789999999999997"/>
    <s v="PASS"/>
    <s v="PASS"/>
    <s v="PASS"/>
    <s v="PASS"/>
    <s v="PASS"/>
    <x v="1"/>
    <n v="0"/>
    <n v="0"/>
    <n v="0"/>
    <n v="0"/>
    <n v="0"/>
  </r>
  <r>
    <n v="73"/>
    <x v="72"/>
    <s v="23/03/2025"/>
    <x v="2"/>
    <s v="2025"/>
    <x v="0"/>
    <n v="23.13"/>
    <n v="33.32"/>
    <n v="67.72"/>
    <n v="4.24"/>
    <n v="0.5716"/>
    <s v="FAIL"/>
    <s v="PASS"/>
    <s v="PASS"/>
    <s v="PASS"/>
    <s v="PASS"/>
    <x v="0"/>
    <n v="1"/>
    <n v="0"/>
    <n v="0"/>
    <n v="0"/>
    <n v="0"/>
  </r>
  <r>
    <n v="74"/>
    <x v="73"/>
    <s v="24/03/2025"/>
    <x v="2"/>
    <s v="2025"/>
    <x v="0"/>
    <n v="7.83"/>
    <n v="32.659999999999997"/>
    <n v="50.28"/>
    <n v="3.84"/>
    <n v="0.56979999999999997"/>
    <s v="PASS"/>
    <s v="PASS"/>
    <s v="PASS"/>
    <s v="PASS"/>
    <s v="PASS"/>
    <x v="1"/>
    <n v="0"/>
    <n v="0"/>
    <n v="0"/>
    <n v="0"/>
    <n v="0"/>
  </r>
  <r>
    <n v="75"/>
    <x v="74"/>
    <s v="31/03/2025"/>
    <x v="2"/>
    <s v="2025"/>
    <x v="1"/>
    <n v="0.73"/>
    <n v="39.68"/>
    <n v="55.38"/>
    <n v="2.99"/>
    <n v="0.57830000000000004"/>
    <s v="PASS"/>
    <s v="PASS"/>
    <s v="PASS"/>
    <s v="PASS"/>
    <s v="PASS"/>
    <x v="1"/>
    <n v="0"/>
    <n v="0"/>
    <n v="0"/>
    <n v="0"/>
    <n v="0"/>
  </r>
  <r>
    <n v="76"/>
    <x v="75"/>
    <s v="15/04/2025"/>
    <x v="3"/>
    <s v="2025"/>
    <x v="0"/>
    <n v="12.23"/>
    <n v="34.159999999999997"/>
    <n v="55.9"/>
    <n v="4.29"/>
    <n v="0.57789999999999997"/>
    <s v="PASS"/>
    <s v="PASS"/>
    <s v="PASS"/>
    <s v="PASS"/>
    <s v="PASS"/>
    <x v="1"/>
    <n v="0"/>
    <n v="0"/>
    <n v="0"/>
    <n v="0"/>
    <n v="0"/>
  </r>
  <r>
    <n v="77"/>
    <x v="76"/>
    <s v="16/04/2025"/>
    <x v="3"/>
    <s v="2025"/>
    <x v="0"/>
    <n v="9.93"/>
    <n v="29.36"/>
    <n v="63.43"/>
    <n v="3.8"/>
    <n v="0.55869999999999997"/>
    <s v="PASS"/>
    <s v="PASS"/>
    <s v="PASS"/>
    <s v="PASS"/>
    <s v="FAIL"/>
    <x v="0"/>
    <n v="0"/>
    <n v="0"/>
    <n v="0"/>
    <n v="0"/>
    <n v="1"/>
  </r>
  <r>
    <n v="78"/>
    <x v="77"/>
    <s v="18/04/2025"/>
    <x v="3"/>
    <s v="2025"/>
    <x v="0"/>
    <n v="9.5500000000000007"/>
    <n v="35.36"/>
    <n v="57.49"/>
    <n v="4.32"/>
    <n v="0.55879999999999996"/>
    <s v="PASS"/>
    <s v="PASS"/>
    <s v="PASS"/>
    <s v="PASS"/>
    <s v="FAIL"/>
    <x v="0"/>
    <n v="0"/>
    <n v="0"/>
    <n v="0"/>
    <n v="0"/>
    <n v="1"/>
  </r>
  <r>
    <n v="79"/>
    <x v="78"/>
    <s v="25/04/2025"/>
    <x v="3"/>
    <s v="2025"/>
    <x v="0"/>
    <n v="8.0299999999999994"/>
    <n v="33.96"/>
    <n v="60.75"/>
    <n v="4.2"/>
    <n v="0.5746"/>
    <s v="PASS"/>
    <s v="PASS"/>
    <s v="PASS"/>
    <s v="PASS"/>
    <s v="PASS"/>
    <x v="1"/>
    <n v="0"/>
    <n v="0"/>
    <n v="0"/>
    <n v="0"/>
    <n v="0"/>
  </r>
  <r>
    <n v="80"/>
    <x v="79"/>
    <s v="30/04/2025"/>
    <x v="3"/>
    <s v="2025"/>
    <x v="1"/>
    <n v="0.68"/>
    <n v="36.74"/>
    <n v="55.99"/>
    <n v="3.11"/>
    <n v="0.57489999999999997"/>
    <s v="PASS"/>
    <s v="PASS"/>
    <s v="PASS"/>
    <s v="PASS"/>
    <s v="PASS"/>
    <x v="1"/>
    <n v="0"/>
    <n v="0"/>
    <n v="0"/>
    <n v="0"/>
    <n v="0"/>
  </r>
  <r>
    <n v="81"/>
    <x v="80"/>
    <s v="12/05/2025"/>
    <x v="4"/>
    <s v="2025"/>
    <x v="0"/>
    <n v="10.97"/>
    <n v="33.65"/>
    <n v="55.96"/>
    <n v="3.66"/>
    <n v="0.56089999999999995"/>
    <s v="PASS"/>
    <s v="PASS"/>
    <s v="PASS"/>
    <s v="PASS"/>
    <s v="PASS"/>
    <x v="1"/>
    <n v="0"/>
    <n v="0"/>
    <n v="0"/>
    <n v="0"/>
    <n v="0"/>
  </r>
  <r>
    <n v="82"/>
    <x v="81"/>
    <s v="14/05/2025"/>
    <x v="4"/>
    <s v="2025"/>
    <x v="0"/>
    <n v="13.43"/>
    <n v="34.72"/>
    <n v="54.07"/>
    <n v="3.63"/>
    <n v="0.5696"/>
    <s v="PASS"/>
    <s v="PASS"/>
    <s v="PASS"/>
    <s v="PASS"/>
    <s v="PASS"/>
    <x v="1"/>
    <n v="0"/>
    <n v="0"/>
    <n v="0"/>
    <n v="0"/>
    <n v="0"/>
  </r>
  <r>
    <n v="83"/>
    <x v="82"/>
    <s v="17/05/2025"/>
    <x v="4"/>
    <s v="2025"/>
    <x v="0"/>
    <n v="13.3"/>
    <n v="26.09"/>
    <n v="52.21"/>
    <n v="3.6"/>
    <n v="0.55710000000000004"/>
    <s v="PASS"/>
    <s v="PASS"/>
    <s v="PASS"/>
    <s v="PASS"/>
    <s v="FAIL"/>
    <x v="0"/>
    <n v="0"/>
    <n v="0"/>
    <n v="0"/>
    <n v="0"/>
    <n v="1"/>
  </r>
  <r>
    <n v="84"/>
    <x v="83"/>
    <s v="18/05/2025"/>
    <x v="4"/>
    <s v="2025"/>
    <x v="0"/>
    <n v="10.29"/>
    <n v="38.54"/>
    <n v="62.17"/>
    <n v="4.13"/>
    <n v="0.56100000000000005"/>
    <s v="PASS"/>
    <s v="PASS"/>
    <s v="PASS"/>
    <s v="PASS"/>
    <s v="PASS"/>
    <x v="1"/>
    <n v="0"/>
    <n v="0"/>
    <n v="0"/>
    <n v="0"/>
    <n v="0"/>
  </r>
  <r>
    <n v="85"/>
    <x v="84"/>
    <s v="24/05/2025"/>
    <x v="4"/>
    <s v="2025"/>
    <x v="1"/>
    <n v="0.72"/>
    <n v="40.590000000000003"/>
    <n v="69.760000000000005"/>
    <n v="3.05"/>
    <n v="0.57289999999999996"/>
    <s v="PASS"/>
    <s v="PASS"/>
    <s v="FAIL"/>
    <s v="PASS"/>
    <s v="PASS"/>
    <x v="0"/>
    <n v="0"/>
    <n v="0"/>
    <n v="1"/>
    <n v="0"/>
    <n v="0"/>
  </r>
  <r>
    <n v="86"/>
    <x v="85"/>
    <s v="03/06/2025"/>
    <x v="5"/>
    <s v="2025"/>
    <x v="0"/>
    <n v="14.55"/>
    <n v="21.96"/>
    <n v="53.28"/>
    <n v="3.99"/>
    <n v="0.56530000000000002"/>
    <s v="PASS"/>
    <s v="PASS"/>
    <s v="PASS"/>
    <s v="PASS"/>
    <s v="PASS"/>
    <x v="1"/>
    <n v="0"/>
    <n v="0"/>
    <n v="0"/>
    <n v="0"/>
    <n v="0"/>
  </r>
  <r>
    <n v="87"/>
    <x v="86"/>
    <s v="13/06/2025"/>
    <x v="5"/>
    <s v="2025"/>
    <x v="0"/>
    <n v="16.170000000000002"/>
    <n v="31.91"/>
    <n v="67.400000000000006"/>
    <n v="3.64"/>
    <n v="0.57050000000000001"/>
    <s v="PASS"/>
    <s v="PASS"/>
    <s v="PASS"/>
    <s v="PASS"/>
    <s v="PASS"/>
    <x v="1"/>
    <n v="0"/>
    <n v="0"/>
    <n v="0"/>
    <n v="0"/>
    <n v="0"/>
  </r>
  <r>
    <n v="88"/>
    <x v="87"/>
    <s v="16/06/2025"/>
    <x v="5"/>
    <s v="2025"/>
    <x v="0"/>
    <n v="17.32"/>
    <n v="38.82"/>
    <n v="56.72"/>
    <n v="4.05"/>
    <n v="0.5726"/>
    <s v="PASS"/>
    <s v="PASS"/>
    <s v="PASS"/>
    <s v="PASS"/>
    <s v="PASS"/>
    <x v="1"/>
    <n v="0"/>
    <n v="0"/>
    <n v="0"/>
    <n v="0"/>
    <n v="0"/>
  </r>
  <r>
    <n v="89"/>
    <x v="88"/>
    <s v="19/06/2025"/>
    <x v="5"/>
    <s v="2025"/>
    <x v="0"/>
    <n v="9.49"/>
    <n v="24.8"/>
    <n v="64.53"/>
    <n v="3.56"/>
    <n v="0.55679999999999996"/>
    <s v="PASS"/>
    <s v="PASS"/>
    <s v="PASS"/>
    <s v="PASS"/>
    <s v="FAIL"/>
    <x v="0"/>
    <n v="0"/>
    <n v="0"/>
    <n v="0"/>
    <n v="0"/>
    <n v="1"/>
  </r>
  <r>
    <n v="90"/>
    <x v="89"/>
    <s v="27/06/2025"/>
    <x v="5"/>
    <s v="2025"/>
    <x v="1"/>
    <n v="0.56000000000000005"/>
    <n v="38.33"/>
    <n v="56.08"/>
    <n v="3.11"/>
    <n v="0.58120000000000005"/>
    <s v="PASS"/>
    <s v="PASS"/>
    <s v="PASS"/>
    <s v="PASS"/>
    <s v="PASS"/>
    <x v="1"/>
    <n v="0"/>
    <n v="0"/>
    <n v="0"/>
    <n v="0"/>
    <n v="0"/>
  </r>
  <r>
    <n v="91"/>
    <x v="90"/>
    <s v="09/07/2025"/>
    <x v="6"/>
    <s v="2025"/>
    <x v="0"/>
    <n v="14.93"/>
    <n v="37.81"/>
    <n v="59.35"/>
    <n v="3.97"/>
    <n v="0.57350000000000001"/>
    <s v="PASS"/>
    <s v="PASS"/>
    <s v="PASS"/>
    <s v="PASS"/>
    <s v="PASS"/>
    <x v="1"/>
    <n v="0"/>
    <n v="0"/>
    <n v="0"/>
    <n v="0"/>
    <n v="0"/>
  </r>
  <r>
    <n v="92"/>
    <x v="91"/>
    <s v="19/07/2025"/>
    <x v="6"/>
    <s v="2025"/>
    <x v="0"/>
    <n v="7.86"/>
    <n v="23.99"/>
    <n v="56.77"/>
    <n v="4.1900000000000004"/>
    <n v="0.57169999999999999"/>
    <s v="PASS"/>
    <s v="PASS"/>
    <s v="PASS"/>
    <s v="PASS"/>
    <s v="PASS"/>
    <x v="1"/>
    <n v="0"/>
    <n v="0"/>
    <n v="0"/>
    <n v="0"/>
    <n v="0"/>
  </r>
  <r>
    <n v="93"/>
    <x v="92"/>
    <s v="21/07/2025"/>
    <x v="6"/>
    <s v="2025"/>
    <x v="0"/>
    <n v="15.26"/>
    <n v="33.6"/>
    <n v="70.739999999999995"/>
    <n v="3.93"/>
    <n v="0.55669999999999997"/>
    <s v="PASS"/>
    <s v="PASS"/>
    <s v="PASS"/>
    <s v="PASS"/>
    <s v="FAIL"/>
    <x v="0"/>
    <n v="0"/>
    <n v="0"/>
    <n v="0"/>
    <n v="0"/>
    <n v="1"/>
  </r>
  <r>
    <n v="94"/>
    <x v="93"/>
    <s v="26/07/2025"/>
    <x v="6"/>
    <s v="2025"/>
    <x v="0"/>
    <n v="10.87"/>
    <n v="25.51"/>
    <n v="52.01"/>
    <n v="4.41"/>
    <n v="0.57809999999999995"/>
    <s v="PASS"/>
    <s v="PASS"/>
    <s v="PASS"/>
    <s v="PASS"/>
    <s v="PASS"/>
    <x v="1"/>
    <n v="0"/>
    <n v="0"/>
    <n v="0"/>
    <n v="0"/>
    <n v="0"/>
  </r>
  <r>
    <n v="95"/>
    <x v="94"/>
    <s v="30/07/2025"/>
    <x v="6"/>
    <s v="2025"/>
    <x v="1"/>
    <n v="0.8"/>
    <n v="41.38"/>
    <n v="56.43"/>
    <n v="2.96"/>
    <n v="0.58209999999999995"/>
    <s v="PASS"/>
    <s v="PASS"/>
    <s v="PASS"/>
    <s v="PASS"/>
    <s v="PASS"/>
    <x v="1"/>
    <n v="0"/>
    <n v="0"/>
    <n v="0"/>
    <n v="0"/>
    <n v="0"/>
  </r>
  <r>
    <n v="96"/>
    <x v="95"/>
    <s v="06/08/2025"/>
    <x v="7"/>
    <s v="2025"/>
    <x v="0"/>
    <n v="14.62"/>
    <n v="29.85"/>
    <n v="52.01"/>
    <n v="3.77"/>
    <n v="0.56599999999999995"/>
    <s v="PASS"/>
    <s v="PASS"/>
    <s v="PASS"/>
    <s v="PASS"/>
    <s v="PASS"/>
    <x v="1"/>
    <n v="0"/>
    <n v="0"/>
    <n v="0"/>
    <n v="0"/>
    <n v="0"/>
  </r>
  <r>
    <n v="97"/>
    <x v="96"/>
    <s v="09/08/2025"/>
    <x v="7"/>
    <s v="2025"/>
    <x v="0"/>
    <n v="10.96"/>
    <n v="33.49"/>
    <n v="56.34"/>
    <n v="4.3899999999999997"/>
    <n v="0.57750000000000001"/>
    <s v="PASS"/>
    <s v="PASS"/>
    <s v="PASS"/>
    <s v="PASS"/>
    <s v="PASS"/>
    <x v="1"/>
    <n v="0"/>
    <n v="0"/>
    <n v="0"/>
    <n v="0"/>
    <n v="0"/>
  </r>
  <r>
    <n v="98"/>
    <x v="97"/>
    <s v="14/08/2025"/>
    <x v="7"/>
    <s v="2025"/>
    <x v="0"/>
    <n v="10.77"/>
    <n v="26.82"/>
    <n v="71.34"/>
    <n v="3.82"/>
    <n v="0.57040000000000002"/>
    <s v="PASS"/>
    <s v="PASS"/>
    <s v="PASS"/>
    <s v="PASS"/>
    <s v="PASS"/>
    <x v="1"/>
    <n v="0"/>
    <n v="0"/>
    <n v="0"/>
    <n v="0"/>
    <n v="0"/>
  </r>
  <r>
    <n v="99"/>
    <x v="98"/>
    <s v="19/08/2025"/>
    <x v="7"/>
    <s v="2025"/>
    <x v="0"/>
    <n v="13.51"/>
    <n v="28.44"/>
    <n v="54.13"/>
    <n v="3.78"/>
    <n v="0.57620000000000005"/>
    <s v="PASS"/>
    <s v="PASS"/>
    <s v="PASS"/>
    <s v="PASS"/>
    <s v="PASS"/>
    <x v="1"/>
    <n v="0"/>
    <n v="0"/>
    <n v="0"/>
    <n v="0"/>
    <n v="0"/>
  </r>
  <r>
    <n v="100"/>
    <x v="99"/>
    <s v="30/08/2025"/>
    <x v="7"/>
    <s v="2025"/>
    <x v="1"/>
    <n v="0.32"/>
    <n v="40.39"/>
    <n v="69.89"/>
    <n v="3.05"/>
    <n v="0.58120000000000005"/>
    <s v="PASS"/>
    <s v="PASS"/>
    <s v="FAIL"/>
    <s v="PASS"/>
    <s v="PASS"/>
    <x v="0"/>
    <n v="0"/>
    <n v="0"/>
    <n v="1"/>
    <n v="0"/>
    <n v="0"/>
  </r>
  <r>
    <n v="101"/>
    <x v="100"/>
    <s v="06/09/2025"/>
    <x v="8"/>
    <s v="2025"/>
    <x v="0"/>
    <n v="7.16"/>
    <n v="28.34"/>
    <n v="54.94"/>
    <n v="4.28"/>
    <n v="0.56069999999999998"/>
    <s v="PASS"/>
    <s v="PASS"/>
    <s v="PASS"/>
    <s v="PASS"/>
    <s v="PASS"/>
    <x v="1"/>
    <n v="0"/>
    <n v="0"/>
    <n v="0"/>
    <n v="0"/>
    <n v="0"/>
  </r>
  <r>
    <n v="102"/>
    <x v="101"/>
    <s v="08/09/2025"/>
    <x v="8"/>
    <s v="2025"/>
    <x v="0"/>
    <n v="8.85"/>
    <n v="37.79"/>
    <n v="56.42"/>
    <n v="4.1399999999999997"/>
    <n v="0.56799999999999995"/>
    <s v="PASS"/>
    <s v="PASS"/>
    <s v="PASS"/>
    <s v="PASS"/>
    <s v="PASS"/>
    <x v="1"/>
    <n v="0"/>
    <n v="0"/>
    <n v="0"/>
    <n v="0"/>
    <n v="0"/>
  </r>
  <r>
    <n v="103"/>
    <x v="102"/>
    <s v="10/09/2025"/>
    <x v="8"/>
    <s v="2025"/>
    <x v="0"/>
    <n v="12.48"/>
    <n v="23.6"/>
    <n v="54.19"/>
    <n v="4.03"/>
    <n v="0.57589999999999997"/>
    <s v="PASS"/>
    <s v="PASS"/>
    <s v="PASS"/>
    <s v="PASS"/>
    <s v="PASS"/>
    <x v="1"/>
    <n v="0"/>
    <n v="0"/>
    <n v="0"/>
    <n v="0"/>
    <n v="0"/>
  </r>
  <r>
    <n v="104"/>
    <x v="103"/>
    <s v="18/09/2025"/>
    <x v="8"/>
    <s v="2025"/>
    <x v="0"/>
    <n v="23.9"/>
    <n v="36.380000000000003"/>
    <n v="57.48"/>
    <n v="4.2300000000000004"/>
    <n v="0.56440000000000001"/>
    <s v="FAIL"/>
    <s v="PASS"/>
    <s v="PASS"/>
    <s v="PASS"/>
    <s v="PASS"/>
    <x v="0"/>
    <n v="1"/>
    <n v="0"/>
    <n v="0"/>
    <n v="0"/>
    <n v="0"/>
  </r>
  <r>
    <n v="105"/>
    <x v="104"/>
    <s v="23/09/2025"/>
    <x v="8"/>
    <s v="2025"/>
    <x v="1"/>
    <n v="0.55000000000000004"/>
    <n v="41.28"/>
    <n v="61.79"/>
    <n v="3.05"/>
    <n v="0.57769999999999999"/>
    <s v="PASS"/>
    <s v="PASS"/>
    <s v="PASS"/>
    <s v="PASS"/>
    <s v="PASS"/>
    <x v="1"/>
    <n v="0"/>
    <n v="0"/>
    <n v="0"/>
    <n v="0"/>
    <n v="0"/>
  </r>
  <r>
    <n v="106"/>
    <x v="105"/>
    <s v="11/10/2025"/>
    <x v="9"/>
    <s v="2025"/>
    <x v="0"/>
    <n v="23.98"/>
    <n v="33.549999999999997"/>
    <n v="62.58"/>
    <n v="3.65"/>
    <n v="0.5766"/>
    <s v="FAIL"/>
    <s v="PASS"/>
    <s v="PASS"/>
    <s v="PASS"/>
    <s v="PASS"/>
    <x v="0"/>
    <n v="1"/>
    <n v="0"/>
    <n v="0"/>
    <n v="0"/>
    <n v="0"/>
  </r>
  <r>
    <n v="107"/>
    <x v="106"/>
    <s v="13/10/2025"/>
    <x v="9"/>
    <s v="2025"/>
    <x v="0"/>
    <n v="16.739999999999998"/>
    <n v="27.95"/>
    <n v="64.599999999999994"/>
    <n v="4.26"/>
    <n v="0.55700000000000005"/>
    <s v="PASS"/>
    <s v="PASS"/>
    <s v="PASS"/>
    <s v="PASS"/>
    <s v="FAIL"/>
    <x v="0"/>
    <n v="0"/>
    <n v="0"/>
    <n v="0"/>
    <n v="0"/>
    <n v="1"/>
  </r>
  <r>
    <n v="108"/>
    <x v="107"/>
    <s v="15/10/2025"/>
    <x v="9"/>
    <s v="2025"/>
    <x v="0"/>
    <n v="14.08"/>
    <n v="36.65"/>
    <n v="69.23"/>
    <n v="3.86"/>
    <n v="0.5706"/>
    <s v="PASS"/>
    <s v="PASS"/>
    <s v="PASS"/>
    <s v="PASS"/>
    <s v="PASS"/>
    <x v="1"/>
    <n v="0"/>
    <n v="0"/>
    <n v="0"/>
    <n v="0"/>
    <n v="0"/>
  </r>
  <r>
    <n v="109"/>
    <x v="108"/>
    <s v="28/10/2025"/>
    <x v="9"/>
    <s v="2025"/>
    <x v="0"/>
    <n v="11.92"/>
    <n v="32.79"/>
    <n v="53.4"/>
    <n v="3.89"/>
    <n v="0.58130000000000004"/>
    <s v="PASS"/>
    <s v="PASS"/>
    <s v="PASS"/>
    <s v="PASS"/>
    <s v="FAIL"/>
    <x v="0"/>
    <n v="0"/>
    <n v="0"/>
    <n v="0"/>
    <n v="0"/>
    <n v="1"/>
  </r>
  <r>
    <n v="110"/>
    <x v="109"/>
    <s v="30/10/2025"/>
    <x v="9"/>
    <s v="2025"/>
    <x v="1"/>
    <n v="0.59"/>
    <n v="42.81"/>
    <n v="61.67"/>
    <n v="3.15"/>
    <n v="0.57609999999999995"/>
    <s v="PASS"/>
    <s v="PASS"/>
    <s v="PASS"/>
    <s v="PASS"/>
    <s v="PASS"/>
    <x v="1"/>
    <n v="0"/>
    <n v="0"/>
    <n v="0"/>
    <n v="0"/>
    <n v="0"/>
  </r>
  <r>
    <n v="111"/>
    <x v="110"/>
    <s v="02/11/2025"/>
    <x v="10"/>
    <s v="2025"/>
    <x v="0"/>
    <n v="14.41"/>
    <n v="25.23"/>
    <n v="65.06"/>
    <n v="3.7"/>
    <n v="0.5635"/>
    <s v="PASS"/>
    <s v="PASS"/>
    <s v="PASS"/>
    <s v="PASS"/>
    <s v="PASS"/>
    <x v="1"/>
    <n v="0"/>
    <n v="0"/>
    <n v="0"/>
    <n v="0"/>
    <n v="0"/>
  </r>
  <r>
    <n v="112"/>
    <x v="111"/>
    <s v="16/11/2025"/>
    <x v="10"/>
    <s v="2025"/>
    <x v="0"/>
    <n v="22.3"/>
    <n v="33.67"/>
    <n v="52.21"/>
    <n v="3.57"/>
    <n v="0.56520000000000004"/>
    <s v="FAIL"/>
    <s v="PASS"/>
    <s v="PASS"/>
    <s v="PASS"/>
    <s v="PASS"/>
    <x v="0"/>
    <n v="1"/>
    <n v="0"/>
    <n v="0"/>
    <n v="0"/>
    <n v="0"/>
  </r>
  <r>
    <n v="113"/>
    <x v="112"/>
    <s v="18/11/2025"/>
    <x v="10"/>
    <s v="2025"/>
    <x v="0"/>
    <n v="11.3"/>
    <n v="28.75"/>
    <n v="55.37"/>
    <n v="3.83"/>
    <n v="0.57440000000000002"/>
    <s v="PASS"/>
    <s v="PASS"/>
    <s v="PASS"/>
    <s v="PASS"/>
    <s v="PASS"/>
    <x v="1"/>
    <n v="0"/>
    <n v="0"/>
    <n v="0"/>
    <n v="0"/>
    <n v="0"/>
  </r>
  <r>
    <n v="114"/>
    <x v="113"/>
    <s v="25/11/2025"/>
    <x v="10"/>
    <s v="2025"/>
    <x v="0"/>
    <n v="14.31"/>
    <n v="27.89"/>
    <n v="65.03"/>
    <n v="3.92"/>
    <n v="0.57199999999999995"/>
    <s v="PASS"/>
    <s v="PASS"/>
    <s v="PASS"/>
    <s v="PASS"/>
    <s v="PASS"/>
    <x v="1"/>
    <n v="0"/>
    <n v="0"/>
    <n v="0"/>
    <n v="0"/>
    <n v="0"/>
  </r>
  <r>
    <n v="115"/>
    <x v="114"/>
    <s v="28/11/2025"/>
    <x v="10"/>
    <s v="2025"/>
    <x v="1"/>
    <n v="0.48"/>
    <n v="41.33"/>
    <n v="62.09"/>
    <n v="3.06"/>
    <n v="0.5917"/>
    <s v="PASS"/>
    <s v="PASS"/>
    <s v="PASS"/>
    <s v="PASS"/>
    <s v="FAIL"/>
    <x v="0"/>
    <n v="0"/>
    <n v="0"/>
    <n v="0"/>
    <n v="0"/>
    <n v="1"/>
  </r>
  <r>
    <n v="116"/>
    <x v="115"/>
    <s v="10/12/2025"/>
    <x v="11"/>
    <s v="2025"/>
    <x v="0"/>
    <n v="15.28"/>
    <n v="29.22"/>
    <n v="56.65"/>
    <n v="4.45"/>
    <n v="0.57850000000000001"/>
    <s v="PASS"/>
    <s v="PASS"/>
    <s v="PASS"/>
    <s v="PASS"/>
    <s v="PASS"/>
    <x v="1"/>
    <n v="0"/>
    <n v="0"/>
    <n v="0"/>
    <n v="0"/>
    <n v="0"/>
  </r>
  <r>
    <n v="117"/>
    <x v="116"/>
    <s v="14/12/2025"/>
    <x v="11"/>
    <s v="2025"/>
    <x v="0"/>
    <n v="11.31"/>
    <n v="26.33"/>
    <n v="65.38"/>
    <n v="3.42"/>
    <n v="0.5585"/>
    <s v="PASS"/>
    <s v="PASS"/>
    <s v="PASS"/>
    <s v="PASS"/>
    <s v="FAIL"/>
    <x v="0"/>
    <n v="0"/>
    <n v="0"/>
    <n v="0"/>
    <n v="0"/>
    <n v="1"/>
  </r>
  <r>
    <n v="118"/>
    <x v="117"/>
    <s v="19/12/2025"/>
    <x v="11"/>
    <s v="2025"/>
    <x v="0"/>
    <n v="16.34"/>
    <n v="38.520000000000003"/>
    <n v="70.03"/>
    <n v="4.18"/>
    <n v="0.57799999999999996"/>
    <s v="PASS"/>
    <s v="PASS"/>
    <s v="PASS"/>
    <s v="PASS"/>
    <s v="PASS"/>
    <x v="1"/>
    <n v="0"/>
    <n v="0"/>
    <n v="0"/>
    <n v="0"/>
    <n v="0"/>
  </r>
  <r>
    <n v="119"/>
    <x v="118"/>
    <s v="21/12/2025"/>
    <x v="11"/>
    <s v="2025"/>
    <x v="0"/>
    <n v="9.76"/>
    <n v="35.43"/>
    <n v="54.82"/>
    <n v="3.6"/>
    <n v="0.56399999999999995"/>
    <s v="PASS"/>
    <s v="PASS"/>
    <s v="PASS"/>
    <s v="PASS"/>
    <s v="PASS"/>
    <x v="1"/>
    <n v="0"/>
    <n v="0"/>
    <n v="0"/>
    <n v="0"/>
    <n v="0"/>
  </r>
  <r>
    <n v="120"/>
    <x v="119"/>
    <s v="31/12/2025"/>
    <x v="11"/>
    <s v="2025"/>
    <x v="1"/>
    <n v="0.61"/>
    <n v="37.090000000000003"/>
    <n v="54.87"/>
    <n v="3.09"/>
    <n v="0.58819999999999995"/>
    <s v="PASS"/>
    <s v="PASS"/>
    <s v="PASS"/>
    <s v="PASS"/>
    <s v="FAIL"/>
    <x v="0"/>
    <n v="0"/>
    <n v="0"/>
    <n v="0"/>
    <n v="0"/>
    <n v="1"/>
  </r>
  <r>
    <n v="121"/>
    <x v="120"/>
    <s v="03/01/2026"/>
    <x v="0"/>
    <s v="2026"/>
    <x v="0"/>
    <n v="15.97"/>
    <n v="24.16"/>
    <n v="52.91"/>
    <n v="3.97"/>
    <n v="0.58130000000000004"/>
    <s v="PASS"/>
    <s v="PASS"/>
    <s v="PASS"/>
    <s v="PASS"/>
    <s v="FAIL"/>
    <x v="0"/>
    <n v="0"/>
    <n v="0"/>
    <n v="0"/>
    <n v="0"/>
    <n v="1"/>
  </r>
  <r>
    <n v="122"/>
    <x v="121"/>
    <s v="05/01/2026"/>
    <x v="0"/>
    <s v="2026"/>
    <x v="0"/>
    <n v="16.97"/>
    <n v="25.63"/>
    <n v="68.14"/>
    <n v="3.91"/>
    <n v="0.57740000000000002"/>
    <s v="PASS"/>
    <s v="PASS"/>
    <s v="PASS"/>
    <s v="PASS"/>
    <s v="PASS"/>
    <x v="1"/>
    <n v="0"/>
    <n v="0"/>
    <n v="0"/>
    <n v="0"/>
    <n v="0"/>
  </r>
  <r>
    <n v="123"/>
    <x v="122"/>
    <s v="10/01/2026"/>
    <x v="0"/>
    <s v="2026"/>
    <x v="0"/>
    <n v="8.3800000000000008"/>
    <n v="38.33"/>
    <n v="53.1"/>
    <n v="4.41"/>
    <n v="0.5786"/>
    <s v="PASS"/>
    <s v="PASS"/>
    <s v="PASS"/>
    <s v="PASS"/>
    <s v="PASS"/>
    <x v="1"/>
    <n v="0"/>
    <n v="0"/>
    <n v="0"/>
    <n v="0"/>
    <n v="0"/>
  </r>
  <r>
    <n v="124"/>
    <x v="123"/>
    <s v="11/01/2026"/>
    <x v="0"/>
    <s v="2026"/>
    <x v="0"/>
    <n v="18.61"/>
    <n v="35.479999999999997"/>
    <n v="58.05"/>
    <n v="4.2300000000000004"/>
    <n v="0.55830000000000002"/>
    <s v="PASS"/>
    <s v="PASS"/>
    <s v="PASS"/>
    <s v="PASS"/>
    <s v="FAIL"/>
    <x v="0"/>
    <n v="0"/>
    <n v="0"/>
    <n v="0"/>
    <n v="0"/>
    <n v="1"/>
  </r>
  <r>
    <n v="125"/>
    <x v="124"/>
    <s v="30/01/2026"/>
    <x v="0"/>
    <s v="2026"/>
    <x v="1"/>
    <n v="0.6"/>
    <n v="41.38"/>
    <n v="66.94"/>
    <n v="3.14"/>
    <n v="0.59130000000000005"/>
    <s v="PASS"/>
    <s v="PASS"/>
    <s v="FAIL"/>
    <s v="PASS"/>
    <s v="FAIL"/>
    <x v="0"/>
    <n v="0"/>
    <n v="0"/>
    <n v="1"/>
    <n v="0"/>
    <n v="1"/>
  </r>
  <r>
    <n v="126"/>
    <x v="125"/>
    <s v="08/02/2026"/>
    <x v="1"/>
    <s v="2026"/>
    <x v="0"/>
    <n v="7.76"/>
    <n v="35.83"/>
    <n v="70.010000000000005"/>
    <n v="3.72"/>
    <n v="0.56779999999999997"/>
    <s v="PASS"/>
    <s v="PASS"/>
    <s v="PASS"/>
    <s v="PASS"/>
    <s v="PASS"/>
    <x v="1"/>
    <n v="0"/>
    <n v="0"/>
    <n v="0"/>
    <n v="0"/>
    <n v="0"/>
  </r>
  <r>
    <n v="127"/>
    <x v="126"/>
    <s v="11/02/2026"/>
    <x v="1"/>
    <s v="2026"/>
    <x v="0"/>
    <n v="10.65"/>
    <n v="29.87"/>
    <n v="52.14"/>
    <n v="4.33"/>
    <n v="0.56130000000000002"/>
    <s v="PASS"/>
    <s v="PASS"/>
    <s v="PASS"/>
    <s v="PASS"/>
    <s v="PASS"/>
    <x v="1"/>
    <n v="0"/>
    <n v="0"/>
    <n v="0"/>
    <n v="0"/>
    <n v="0"/>
  </r>
  <r>
    <n v="128"/>
    <x v="127"/>
    <s v="18/02/2026"/>
    <x v="1"/>
    <s v="2026"/>
    <x v="0"/>
    <n v="15.92"/>
    <n v="38.03"/>
    <n v="59.22"/>
    <n v="4.18"/>
    <n v="0.56169999999999998"/>
    <s v="PASS"/>
    <s v="PASS"/>
    <s v="PASS"/>
    <s v="PASS"/>
    <s v="PASS"/>
    <x v="1"/>
    <n v="0"/>
    <n v="0"/>
    <n v="0"/>
    <n v="0"/>
    <n v="0"/>
  </r>
  <r>
    <n v="129"/>
    <x v="128"/>
    <s v="20/02/2026"/>
    <x v="1"/>
    <s v="2026"/>
    <x v="0"/>
    <n v="12.87"/>
    <n v="28.35"/>
    <n v="70.930000000000007"/>
    <n v="3.43"/>
    <n v="0.56689999999999996"/>
    <s v="PASS"/>
    <s v="PASS"/>
    <s v="PASS"/>
    <s v="PASS"/>
    <s v="PASS"/>
    <x v="1"/>
    <n v="0"/>
    <n v="0"/>
    <n v="0"/>
    <n v="0"/>
    <n v="0"/>
  </r>
  <r>
    <n v="130"/>
    <x v="129"/>
    <s v="21/02/2026"/>
    <x v="1"/>
    <s v="2026"/>
    <x v="1"/>
    <n v="0.71"/>
    <n v="36.79"/>
    <n v="60.17"/>
    <n v="3.08"/>
    <n v="0.58560000000000001"/>
    <s v="PASS"/>
    <s v="PASS"/>
    <s v="PASS"/>
    <s v="PASS"/>
    <s v="FAIL"/>
    <x v="0"/>
    <n v="0"/>
    <n v="0"/>
    <n v="0"/>
    <n v="0"/>
    <n v="1"/>
  </r>
  <r>
    <n v="131"/>
    <x v="130"/>
    <s v="04/03/2026"/>
    <x v="2"/>
    <s v="2026"/>
    <x v="0"/>
    <n v="12.46"/>
    <n v="32.93"/>
    <n v="64.12"/>
    <n v="4.03"/>
    <n v="0.5585"/>
    <s v="PASS"/>
    <s v="PASS"/>
    <s v="PASS"/>
    <s v="PASS"/>
    <s v="FAIL"/>
    <x v="0"/>
    <n v="0"/>
    <n v="0"/>
    <n v="0"/>
    <n v="0"/>
    <n v="1"/>
  </r>
  <r>
    <n v="132"/>
    <x v="131"/>
    <s v="07/03/2026"/>
    <x v="2"/>
    <s v="2026"/>
    <x v="0"/>
    <n v="8.51"/>
    <n v="31.16"/>
    <n v="51.51"/>
    <n v="4.2"/>
    <n v="0.56299999999999994"/>
    <s v="PASS"/>
    <s v="PASS"/>
    <s v="PASS"/>
    <s v="PASS"/>
    <s v="PASS"/>
    <x v="1"/>
    <n v="0"/>
    <n v="0"/>
    <n v="0"/>
    <n v="0"/>
    <n v="0"/>
  </r>
  <r>
    <n v="133"/>
    <x v="132"/>
    <s v="27/03/2026"/>
    <x v="2"/>
    <s v="2026"/>
    <x v="0"/>
    <n v="10.94"/>
    <n v="23.66"/>
    <n v="69.81"/>
    <n v="3.4"/>
    <n v="0.5786"/>
    <s v="PASS"/>
    <s v="PASS"/>
    <s v="PASS"/>
    <s v="PASS"/>
    <s v="PASS"/>
    <x v="1"/>
    <n v="0"/>
    <n v="0"/>
    <n v="0"/>
    <n v="0"/>
    <n v="0"/>
  </r>
  <r>
    <n v="134"/>
    <x v="133"/>
    <s v="28/03/2026"/>
    <x v="2"/>
    <s v="2026"/>
    <x v="0"/>
    <n v="10.01"/>
    <n v="24.14"/>
    <n v="64.540000000000006"/>
    <n v="3.43"/>
    <n v="0.55840000000000001"/>
    <s v="PASS"/>
    <s v="PASS"/>
    <s v="PASS"/>
    <s v="PASS"/>
    <s v="FAIL"/>
    <x v="0"/>
    <n v="0"/>
    <n v="0"/>
    <n v="0"/>
    <n v="0"/>
    <n v="1"/>
  </r>
  <r>
    <n v="135"/>
    <x v="134"/>
    <s v="31/03/2026"/>
    <x v="2"/>
    <s v="2026"/>
    <x v="1"/>
    <n v="0.39"/>
    <n v="37.39"/>
    <n v="54.47"/>
    <n v="3.12"/>
    <n v="0.57840000000000003"/>
    <s v="PASS"/>
    <s v="PASS"/>
    <s v="PASS"/>
    <s v="PASS"/>
    <s v="PASS"/>
    <x v="1"/>
    <n v="0"/>
    <n v="0"/>
    <n v="0"/>
    <n v="0"/>
    <n v="0"/>
  </r>
  <r>
    <n v="136"/>
    <x v="135"/>
    <s v="04/04/2026"/>
    <x v="3"/>
    <s v="2026"/>
    <x v="0"/>
    <n v="12.42"/>
    <n v="24.99"/>
    <n v="63.53"/>
    <n v="4.16"/>
    <n v="0.57979999999999998"/>
    <s v="PASS"/>
    <s v="PASS"/>
    <s v="PASS"/>
    <s v="PASS"/>
    <s v="PASS"/>
    <x v="1"/>
    <n v="0"/>
    <n v="0"/>
    <n v="0"/>
    <n v="0"/>
    <n v="0"/>
  </r>
  <r>
    <n v="137"/>
    <x v="136"/>
    <s v="12/04/2026"/>
    <x v="3"/>
    <s v="2026"/>
    <x v="0"/>
    <n v="14.72"/>
    <n v="21.56"/>
    <n v="71.97"/>
    <n v="4.29"/>
    <n v="0.56820000000000004"/>
    <s v="PASS"/>
    <s v="PASS"/>
    <s v="PASS"/>
    <s v="PASS"/>
    <s v="PASS"/>
    <x v="1"/>
    <n v="0"/>
    <n v="0"/>
    <n v="0"/>
    <n v="0"/>
    <n v="0"/>
  </r>
  <r>
    <n v="138"/>
    <x v="137"/>
    <s v="17/04/2026"/>
    <x v="3"/>
    <s v="2026"/>
    <x v="0"/>
    <n v="12.32"/>
    <n v="37.19"/>
    <n v="57.09"/>
    <n v="3.56"/>
    <n v="0.56100000000000005"/>
    <s v="PASS"/>
    <s v="PASS"/>
    <s v="PASS"/>
    <s v="PASS"/>
    <s v="PASS"/>
    <x v="1"/>
    <n v="0"/>
    <n v="0"/>
    <n v="0"/>
    <n v="0"/>
    <n v="0"/>
  </r>
  <r>
    <n v="139"/>
    <x v="138"/>
    <s v="19/04/2026"/>
    <x v="3"/>
    <s v="2026"/>
    <x v="0"/>
    <n v="15.55"/>
    <n v="27.86"/>
    <n v="63.14"/>
    <n v="3.71"/>
    <n v="0.57010000000000005"/>
    <s v="PASS"/>
    <s v="PASS"/>
    <s v="PASS"/>
    <s v="PASS"/>
    <s v="PASS"/>
    <x v="1"/>
    <n v="0"/>
    <n v="0"/>
    <n v="0"/>
    <n v="0"/>
    <n v="0"/>
  </r>
  <r>
    <n v="140"/>
    <x v="139"/>
    <s v="25/04/2026"/>
    <x v="3"/>
    <s v="2026"/>
    <x v="1"/>
    <n v="0.27"/>
    <n v="41.24"/>
    <n v="61.9"/>
    <n v="3.08"/>
    <n v="0.58379999999999999"/>
    <s v="PASS"/>
    <s v="PASS"/>
    <s v="PASS"/>
    <s v="PASS"/>
    <s v="PASS"/>
    <x v="1"/>
    <n v="0"/>
    <n v="0"/>
    <n v="0"/>
    <n v="0"/>
    <n v="0"/>
  </r>
  <r>
    <n v="141"/>
    <x v="140"/>
    <s v="11/05/2026"/>
    <x v="4"/>
    <s v="2026"/>
    <x v="0"/>
    <n v="11.99"/>
    <n v="22.71"/>
    <n v="59.39"/>
    <n v="4.0999999999999996"/>
    <n v="0.56699999999999995"/>
    <s v="PASS"/>
    <s v="PASS"/>
    <s v="PASS"/>
    <s v="PASS"/>
    <s v="PASS"/>
    <x v="1"/>
    <n v="0"/>
    <n v="0"/>
    <n v="0"/>
    <n v="0"/>
    <n v="0"/>
  </r>
  <r>
    <n v="142"/>
    <x v="141"/>
    <s v="13/05/2026"/>
    <x v="4"/>
    <s v="2026"/>
    <x v="0"/>
    <n v="7.81"/>
    <n v="35.97"/>
    <n v="52.05"/>
    <n v="3.5"/>
    <n v="0.57569999999999999"/>
    <s v="PASS"/>
    <s v="PASS"/>
    <s v="PASS"/>
    <s v="PASS"/>
    <s v="PASS"/>
    <x v="1"/>
    <n v="0"/>
    <n v="0"/>
    <n v="0"/>
    <n v="0"/>
    <n v="0"/>
  </r>
  <r>
    <n v="143"/>
    <x v="142"/>
    <s v="14/05/2026"/>
    <x v="4"/>
    <s v="2026"/>
    <x v="0"/>
    <n v="14.04"/>
    <n v="31.11"/>
    <n v="57.25"/>
    <n v="3.53"/>
    <n v="0.5665"/>
    <s v="PASS"/>
    <s v="PASS"/>
    <s v="PASS"/>
    <s v="PASS"/>
    <s v="PASS"/>
    <x v="1"/>
    <n v="0"/>
    <n v="0"/>
    <n v="0"/>
    <n v="0"/>
    <n v="0"/>
  </r>
  <r>
    <n v="144"/>
    <x v="143"/>
    <s v="15/05/2026"/>
    <x v="4"/>
    <s v="2026"/>
    <x v="0"/>
    <n v="17.420000000000002"/>
    <n v="33.979999999999997"/>
    <n v="71.3"/>
    <n v="4.03"/>
    <n v="0.56640000000000001"/>
    <s v="PASS"/>
    <s v="PASS"/>
    <s v="PASS"/>
    <s v="PASS"/>
    <s v="PASS"/>
    <x v="1"/>
    <n v="0"/>
    <n v="0"/>
    <n v="0"/>
    <n v="0"/>
    <n v="0"/>
  </r>
  <r>
    <n v="145"/>
    <x v="144"/>
    <s v="27/05/2026"/>
    <x v="4"/>
    <s v="2026"/>
    <x v="1"/>
    <n v="0.59"/>
    <n v="37.79"/>
    <n v="54.97"/>
    <n v="3.14"/>
    <n v="0.57589999999999997"/>
    <s v="PASS"/>
    <s v="PASS"/>
    <s v="PASS"/>
    <s v="PASS"/>
    <s v="PASS"/>
    <x v="1"/>
    <n v="0"/>
    <n v="0"/>
    <n v="0"/>
    <n v="0"/>
    <n v="0"/>
  </r>
  <r>
    <n v="146"/>
    <x v="145"/>
    <s v="14/06/2026"/>
    <x v="5"/>
    <s v="2026"/>
    <x v="0"/>
    <n v="16.82"/>
    <n v="32.04"/>
    <n v="64.14"/>
    <n v="3.43"/>
    <n v="0.58030000000000004"/>
    <s v="PASS"/>
    <s v="PASS"/>
    <s v="PASS"/>
    <s v="PASS"/>
    <s v="FAIL"/>
    <x v="0"/>
    <n v="0"/>
    <n v="0"/>
    <n v="0"/>
    <n v="0"/>
    <n v="1"/>
  </r>
  <r>
    <n v="147"/>
    <x v="146"/>
    <s v="18/06/2026"/>
    <x v="5"/>
    <s v="2026"/>
    <x v="0"/>
    <n v="9.16"/>
    <n v="33.65"/>
    <n v="56.8"/>
    <n v="3.76"/>
    <n v="0.55810000000000004"/>
    <s v="PASS"/>
    <s v="PASS"/>
    <s v="PASS"/>
    <s v="PASS"/>
    <s v="FAIL"/>
    <x v="0"/>
    <n v="0"/>
    <n v="0"/>
    <n v="0"/>
    <n v="0"/>
    <n v="1"/>
  </r>
  <r>
    <n v="148"/>
    <x v="147"/>
    <s v="25/06/2026"/>
    <x v="5"/>
    <s v="2026"/>
    <x v="0"/>
    <n v="11.81"/>
    <n v="23.55"/>
    <n v="63.93"/>
    <n v="3.43"/>
    <n v="0.57589999999999997"/>
    <s v="PASS"/>
    <s v="PASS"/>
    <s v="PASS"/>
    <s v="PASS"/>
    <s v="PASS"/>
    <x v="1"/>
    <n v="0"/>
    <n v="0"/>
    <n v="0"/>
    <n v="0"/>
    <n v="0"/>
  </r>
  <r>
    <n v="149"/>
    <x v="148"/>
    <s v="26/06/2026"/>
    <x v="5"/>
    <s v="2026"/>
    <x v="0"/>
    <n v="11.09"/>
    <n v="27.66"/>
    <n v="65.88"/>
    <n v="4.22"/>
    <n v="0.5716"/>
    <s v="PASS"/>
    <s v="PASS"/>
    <s v="PASS"/>
    <s v="PASS"/>
    <s v="PASS"/>
    <x v="1"/>
    <n v="0"/>
    <n v="0"/>
    <n v="0"/>
    <n v="0"/>
    <n v="0"/>
  </r>
  <r>
    <n v="150"/>
    <x v="149"/>
    <s v="28/06/2026"/>
    <x v="5"/>
    <s v="2026"/>
    <x v="1"/>
    <n v="0.28999999999999998"/>
    <n v="40.94"/>
    <n v="60.07"/>
    <n v="3.01"/>
    <n v="0.5806"/>
    <s v="PASS"/>
    <s v="PASS"/>
    <s v="PASS"/>
    <s v="PASS"/>
    <s v="PASS"/>
    <x v="1"/>
    <n v="0"/>
    <n v="0"/>
    <n v="0"/>
    <n v="0"/>
    <n v="0"/>
  </r>
  <r>
    <m/>
    <x v="150"/>
    <m/>
    <x v="12"/>
    <m/>
    <x v="2"/>
    <m/>
    <m/>
    <m/>
    <m/>
    <m/>
    <m/>
    <m/>
    <m/>
    <m/>
    <m/>
    <x v="2"/>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n v="1"/>
    <x v="0"/>
    <s v="01/01/2024"/>
    <x v="0"/>
    <x v="0"/>
    <x v="0"/>
    <n v="9.94"/>
    <n v="23.51"/>
    <n v="52.25"/>
    <n v="4.18"/>
    <n v="0.5554"/>
    <s v="PASS"/>
    <s v="PASS"/>
    <s v="PASS"/>
    <s v="PASS"/>
    <s v="FAIL"/>
    <x v="0"/>
    <n v="0"/>
    <n v="0"/>
    <n v="0"/>
    <n v="0"/>
    <n v="1"/>
  </r>
  <r>
    <n v="2"/>
    <x v="1"/>
    <s v="04/01/2024"/>
    <x v="0"/>
    <x v="0"/>
    <x v="0"/>
    <n v="9.7899999999999991"/>
    <n v="31.84"/>
    <n v="62.35"/>
    <n v="4.1500000000000004"/>
    <n v="0.57479999999999998"/>
    <s v="PASS"/>
    <s v="PASS"/>
    <s v="PASS"/>
    <s v="PASS"/>
    <s v="PASS"/>
    <x v="1"/>
    <n v="0"/>
    <n v="0"/>
    <n v="0"/>
    <n v="0"/>
    <n v="0"/>
  </r>
  <r>
    <n v="3"/>
    <x v="2"/>
    <s v="09/01/2024"/>
    <x v="0"/>
    <x v="0"/>
    <x v="0"/>
    <n v="10.34"/>
    <n v="36.65"/>
    <n v="66.69"/>
    <n v="3.57"/>
    <n v="0.56810000000000005"/>
    <s v="PASS"/>
    <s v="PASS"/>
    <s v="PASS"/>
    <s v="PASS"/>
    <s v="PASS"/>
    <x v="1"/>
    <n v="0"/>
    <n v="0"/>
    <n v="0"/>
    <n v="0"/>
    <n v="0"/>
  </r>
  <r>
    <n v="4"/>
    <x v="3"/>
    <s v="21/01/2024"/>
    <x v="0"/>
    <x v="0"/>
    <x v="0"/>
    <n v="16.16"/>
    <n v="22.84"/>
    <n v="58.36"/>
    <n v="3.78"/>
    <n v="0.55679999999999996"/>
    <s v="PASS"/>
    <s v="PASS"/>
    <s v="PASS"/>
    <s v="PASS"/>
    <s v="FAIL"/>
    <x v="0"/>
    <n v="0"/>
    <n v="0"/>
    <n v="0"/>
    <n v="0"/>
    <n v="1"/>
  </r>
  <r>
    <n v="5"/>
    <x v="4"/>
    <s v="24/01/2024"/>
    <x v="0"/>
    <x v="0"/>
    <x v="1"/>
    <n v="0.27"/>
    <n v="43.38"/>
    <n v="54.71"/>
    <n v="3.02"/>
    <n v="0.58009999999999995"/>
    <s v="PASS"/>
    <s v="PASS"/>
    <s v="PASS"/>
    <s v="PASS"/>
    <s v="PASS"/>
    <x v="1"/>
    <n v="0"/>
    <n v="0"/>
    <n v="0"/>
    <n v="0"/>
    <n v="0"/>
  </r>
  <r>
    <n v="6"/>
    <x v="5"/>
    <s v="02/02/2024"/>
    <x v="1"/>
    <x v="0"/>
    <x v="0"/>
    <n v="9.73"/>
    <n v="26.21"/>
    <n v="51.76"/>
    <n v="3.64"/>
    <n v="0.56040000000000001"/>
    <s v="PASS"/>
    <s v="PASS"/>
    <s v="PASS"/>
    <s v="PASS"/>
    <s v="PASS"/>
    <x v="1"/>
    <n v="0"/>
    <n v="0"/>
    <n v="0"/>
    <n v="0"/>
    <n v="0"/>
  </r>
  <r>
    <n v="7"/>
    <x v="6"/>
    <s v="03/02/2024"/>
    <x v="1"/>
    <x v="0"/>
    <x v="0"/>
    <n v="11.38"/>
    <n v="27.66"/>
    <n v="54.61"/>
    <n v="3.68"/>
    <n v="0.58050000000000002"/>
    <s v="PASS"/>
    <s v="PASS"/>
    <s v="PASS"/>
    <s v="PASS"/>
    <s v="FAIL"/>
    <x v="0"/>
    <n v="0"/>
    <n v="0"/>
    <n v="0"/>
    <n v="0"/>
    <n v="1"/>
  </r>
  <r>
    <n v="8"/>
    <x v="7"/>
    <s v="07/02/2024"/>
    <x v="1"/>
    <x v="0"/>
    <x v="0"/>
    <n v="9.0500000000000007"/>
    <n v="34.119999999999997"/>
    <n v="53.59"/>
    <n v="3.8"/>
    <n v="0.58169999999999999"/>
    <s v="PASS"/>
    <s v="PASS"/>
    <s v="PASS"/>
    <s v="PASS"/>
    <s v="FAIL"/>
    <x v="0"/>
    <n v="0"/>
    <n v="0"/>
    <n v="0"/>
    <n v="0"/>
    <n v="1"/>
  </r>
  <r>
    <n v="9"/>
    <x v="8"/>
    <s v="22/02/2024"/>
    <x v="1"/>
    <x v="0"/>
    <x v="0"/>
    <n v="15.22"/>
    <n v="36.17"/>
    <n v="67.069999999999993"/>
    <n v="3.64"/>
    <n v="0.55879999999999996"/>
    <s v="PASS"/>
    <s v="PASS"/>
    <s v="PASS"/>
    <s v="PASS"/>
    <s v="FAIL"/>
    <x v="0"/>
    <n v="0"/>
    <n v="0"/>
    <n v="0"/>
    <n v="0"/>
    <n v="1"/>
  </r>
  <r>
    <n v="10"/>
    <x v="9"/>
    <s v="23/02/2024"/>
    <x v="1"/>
    <x v="0"/>
    <x v="1"/>
    <n v="0.33"/>
    <n v="43.54"/>
    <n v="61.89"/>
    <n v="3.02"/>
    <n v="0.58050000000000002"/>
    <s v="PASS"/>
    <s v="PASS"/>
    <s v="PASS"/>
    <s v="PASS"/>
    <s v="PASS"/>
    <x v="1"/>
    <n v="0"/>
    <n v="0"/>
    <n v="0"/>
    <n v="0"/>
    <n v="0"/>
  </r>
  <r>
    <n v="11"/>
    <x v="10"/>
    <s v="05/03/2024"/>
    <x v="2"/>
    <x v="0"/>
    <x v="0"/>
    <n v="13.74"/>
    <n v="25.73"/>
    <n v="62.86"/>
    <n v="4.34"/>
    <n v="0.56759999999999999"/>
    <s v="PASS"/>
    <s v="PASS"/>
    <s v="PASS"/>
    <s v="PASS"/>
    <s v="PASS"/>
    <x v="1"/>
    <n v="0"/>
    <n v="0"/>
    <n v="0"/>
    <n v="0"/>
    <n v="0"/>
  </r>
  <r>
    <n v="12"/>
    <x v="11"/>
    <s v="08/03/2024"/>
    <x v="2"/>
    <x v="0"/>
    <x v="0"/>
    <n v="13.11"/>
    <n v="22.64"/>
    <n v="51.04"/>
    <n v="3.52"/>
    <n v="0.57310000000000005"/>
    <s v="PASS"/>
    <s v="PASS"/>
    <s v="PASS"/>
    <s v="PASS"/>
    <s v="PASS"/>
    <x v="1"/>
    <n v="0"/>
    <n v="0"/>
    <n v="0"/>
    <n v="0"/>
    <n v="0"/>
  </r>
  <r>
    <n v="13"/>
    <x v="12"/>
    <s v="09/03/2024"/>
    <x v="2"/>
    <x v="0"/>
    <x v="0"/>
    <n v="7.76"/>
    <n v="27.87"/>
    <n v="71.91"/>
    <n v="3.96"/>
    <n v="0.55789999999999995"/>
    <s v="PASS"/>
    <s v="PASS"/>
    <s v="PASS"/>
    <s v="PASS"/>
    <s v="FAIL"/>
    <x v="0"/>
    <n v="0"/>
    <n v="0"/>
    <n v="0"/>
    <n v="0"/>
    <n v="1"/>
  </r>
  <r>
    <n v="14"/>
    <x v="13"/>
    <s v="15/03/2024"/>
    <x v="2"/>
    <x v="0"/>
    <x v="0"/>
    <n v="15.18"/>
    <n v="30.67"/>
    <n v="55.87"/>
    <n v="4.07"/>
    <n v="0.56069999999999998"/>
    <s v="PASS"/>
    <s v="PASS"/>
    <s v="PASS"/>
    <s v="PASS"/>
    <s v="PASS"/>
    <x v="1"/>
    <n v="0"/>
    <n v="0"/>
    <n v="0"/>
    <n v="0"/>
    <n v="0"/>
  </r>
  <r>
    <n v="15"/>
    <x v="14"/>
    <s v="24/03/2024"/>
    <x v="2"/>
    <x v="0"/>
    <x v="1"/>
    <n v="0.77"/>
    <n v="43.01"/>
    <n v="56.37"/>
    <n v="3.07"/>
    <n v="0.57289999999999996"/>
    <s v="PASS"/>
    <s v="PASS"/>
    <s v="PASS"/>
    <s v="PASS"/>
    <s v="PASS"/>
    <x v="1"/>
    <n v="0"/>
    <n v="0"/>
    <n v="0"/>
    <n v="0"/>
    <n v="0"/>
  </r>
  <r>
    <n v="16"/>
    <x v="15"/>
    <s v="10/04/2024"/>
    <x v="3"/>
    <x v="0"/>
    <x v="0"/>
    <n v="9.39"/>
    <n v="27.73"/>
    <n v="53.55"/>
    <n v="4.4000000000000004"/>
    <n v="0.58009999999999995"/>
    <s v="PASS"/>
    <s v="PASS"/>
    <s v="PASS"/>
    <s v="PASS"/>
    <s v="FAIL"/>
    <x v="0"/>
    <n v="0"/>
    <n v="0"/>
    <n v="0"/>
    <n v="0"/>
    <n v="1"/>
  </r>
  <r>
    <n v="17"/>
    <x v="16"/>
    <s v="17/04/2024"/>
    <x v="3"/>
    <x v="0"/>
    <x v="0"/>
    <n v="12.86"/>
    <n v="23.01"/>
    <n v="57.99"/>
    <n v="4.43"/>
    <n v="0.57740000000000002"/>
    <s v="PASS"/>
    <s v="PASS"/>
    <s v="PASS"/>
    <s v="PASS"/>
    <s v="PASS"/>
    <x v="1"/>
    <n v="0"/>
    <n v="0"/>
    <n v="0"/>
    <n v="0"/>
    <n v="0"/>
  </r>
  <r>
    <n v="18"/>
    <x v="17"/>
    <s v="20/04/2024"/>
    <x v="3"/>
    <x v="0"/>
    <x v="0"/>
    <n v="13.81"/>
    <n v="22.42"/>
    <n v="66.099999999999994"/>
    <n v="4.26"/>
    <n v="0.58150000000000002"/>
    <s v="PASS"/>
    <s v="PASS"/>
    <s v="PASS"/>
    <s v="PASS"/>
    <s v="FAIL"/>
    <x v="0"/>
    <n v="0"/>
    <n v="0"/>
    <n v="0"/>
    <n v="0"/>
    <n v="1"/>
  </r>
  <r>
    <n v="19"/>
    <x v="18"/>
    <s v="21/04/2024"/>
    <x v="3"/>
    <x v="0"/>
    <x v="0"/>
    <n v="14.92"/>
    <n v="38.04"/>
    <n v="53.63"/>
    <n v="3.95"/>
    <n v="0.5726"/>
    <s v="PASS"/>
    <s v="PASS"/>
    <s v="PASS"/>
    <s v="PASS"/>
    <s v="PASS"/>
    <x v="1"/>
    <n v="0"/>
    <n v="0"/>
    <n v="0"/>
    <n v="0"/>
    <n v="0"/>
  </r>
  <r>
    <n v="20"/>
    <x v="19"/>
    <s v="27/04/2024"/>
    <x v="3"/>
    <x v="0"/>
    <x v="1"/>
    <n v="0.65"/>
    <n v="41.52"/>
    <n v="60.42"/>
    <n v="3.04"/>
    <n v="0.58069999999999999"/>
    <s v="PASS"/>
    <s v="PASS"/>
    <s v="PASS"/>
    <s v="PASS"/>
    <s v="PASS"/>
    <x v="1"/>
    <n v="0"/>
    <n v="0"/>
    <n v="0"/>
    <n v="0"/>
    <n v="0"/>
  </r>
  <r>
    <n v="21"/>
    <x v="20"/>
    <s v="03/05/2024"/>
    <x v="4"/>
    <x v="0"/>
    <x v="0"/>
    <n v="7.25"/>
    <n v="30.97"/>
    <n v="62.95"/>
    <n v="3.41"/>
    <n v="0.57499999999999996"/>
    <s v="PASS"/>
    <s v="PASS"/>
    <s v="PASS"/>
    <s v="PASS"/>
    <s v="PASS"/>
    <x v="1"/>
    <n v="0"/>
    <n v="0"/>
    <n v="0"/>
    <n v="0"/>
    <n v="0"/>
  </r>
  <r>
    <n v="22"/>
    <x v="21"/>
    <s v="04/05/2024"/>
    <x v="4"/>
    <x v="0"/>
    <x v="0"/>
    <n v="7.38"/>
    <n v="26.95"/>
    <n v="61.31"/>
    <n v="3.69"/>
    <n v="0.5696"/>
    <s v="PASS"/>
    <s v="PASS"/>
    <s v="PASS"/>
    <s v="PASS"/>
    <s v="PASS"/>
    <x v="1"/>
    <n v="0"/>
    <n v="0"/>
    <n v="0"/>
    <n v="0"/>
    <n v="0"/>
  </r>
  <r>
    <n v="23"/>
    <x v="22"/>
    <s v="08/05/2024"/>
    <x v="4"/>
    <x v="0"/>
    <x v="0"/>
    <n v="17.59"/>
    <n v="31.37"/>
    <n v="55.35"/>
    <n v="3.9"/>
    <n v="0.56779999999999997"/>
    <s v="PASS"/>
    <s v="PASS"/>
    <s v="PASS"/>
    <s v="PASS"/>
    <s v="PASS"/>
    <x v="1"/>
    <n v="0"/>
    <n v="0"/>
    <n v="0"/>
    <n v="0"/>
    <n v="0"/>
  </r>
  <r>
    <n v="24"/>
    <x v="23"/>
    <s v="11/05/2024"/>
    <x v="4"/>
    <x v="0"/>
    <x v="0"/>
    <n v="11.25"/>
    <n v="28.4"/>
    <n v="69"/>
    <n v="3.46"/>
    <n v="0.57369999999999999"/>
    <s v="PASS"/>
    <s v="PASS"/>
    <s v="PASS"/>
    <s v="PASS"/>
    <s v="PASS"/>
    <x v="1"/>
    <n v="0"/>
    <n v="0"/>
    <n v="0"/>
    <n v="0"/>
    <n v="0"/>
  </r>
  <r>
    <n v="25"/>
    <x v="24"/>
    <s v="15/05/2024"/>
    <x v="4"/>
    <x v="0"/>
    <x v="1"/>
    <n v="0.64"/>
    <n v="42.4"/>
    <n v="66.73"/>
    <n v="2.99"/>
    <n v="0.5786"/>
    <s v="PASS"/>
    <s v="PASS"/>
    <s v="FAIL"/>
    <s v="PASS"/>
    <s v="PASS"/>
    <x v="0"/>
    <n v="0"/>
    <n v="0"/>
    <n v="1"/>
    <n v="0"/>
    <n v="0"/>
  </r>
  <r>
    <n v="26"/>
    <x v="25"/>
    <s v="03/06/2024"/>
    <x v="5"/>
    <x v="0"/>
    <x v="0"/>
    <n v="17.34"/>
    <n v="30.91"/>
    <n v="51.11"/>
    <n v="4.45"/>
    <n v="0.57809999999999995"/>
    <s v="PASS"/>
    <s v="PASS"/>
    <s v="PASS"/>
    <s v="PASS"/>
    <s v="PASS"/>
    <x v="1"/>
    <n v="0"/>
    <n v="0"/>
    <n v="0"/>
    <n v="0"/>
    <n v="0"/>
  </r>
  <r>
    <n v="27"/>
    <x v="26"/>
    <s v="15/06/2024"/>
    <x v="5"/>
    <x v="0"/>
    <x v="0"/>
    <n v="17.18"/>
    <n v="23.99"/>
    <n v="60.68"/>
    <n v="3.62"/>
    <n v="0.56759999999999999"/>
    <s v="PASS"/>
    <s v="PASS"/>
    <s v="PASS"/>
    <s v="PASS"/>
    <s v="PASS"/>
    <x v="1"/>
    <n v="0"/>
    <n v="0"/>
    <n v="0"/>
    <n v="0"/>
    <n v="0"/>
  </r>
  <r>
    <n v="28"/>
    <x v="27"/>
    <s v="26/06/2024"/>
    <x v="5"/>
    <x v="0"/>
    <x v="0"/>
    <n v="18.82"/>
    <n v="25.77"/>
    <n v="67.25"/>
    <n v="3.88"/>
    <n v="0.56820000000000004"/>
    <s v="PASS"/>
    <s v="PASS"/>
    <s v="PASS"/>
    <s v="PASS"/>
    <s v="PASS"/>
    <x v="1"/>
    <n v="0"/>
    <n v="0"/>
    <n v="0"/>
    <n v="0"/>
    <n v="0"/>
  </r>
  <r>
    <n v="29"/>
    <x v="28"/>
    <s v="28/06/2024"/>
    <x v="5"/>
    <x v="0"/>
    <x v="0"/>
    <n v="13.67"/>
    <n v="33.93"/>
    <n v="53.41"/>
    <n v="3.71"/>
    <n v="0.58120000000000005"/>
    <s v="PASS"/>
    <s v="PASS"/>
    <s v="PASS"/>
    <s v="PASS"/>
    <s v="FAIL"/>
    <x v="0"/>
    <n v="0"/>
    <n v="0"/>
    <n v="0"/>
    <n v="0"/>
    <n v="1"/>
  </r>
  <r>
    <n v="30"/>
    <x v="29"/>
    <s v="30/06/2024"/>
    <x v="5"/>
    <x v="0"/>
    <x v="1"/>
    <n v="0.65"/>
    <n v="36.46"/>
    <n v="59.26"/>
    <n v="3.07"/>
    <n v="0.58360000000000001"/>
    <s v="PASS"/>
    <s v="PASS"/>
    <s v="PASS"/>
    <s v="PASS"/>
    <s v="PASS"/>
    <x v="1"/>
    <n v="0"/>
    <n v="0"/>
    <n v="0"/>
    <n v="0"/>
    <n v="0"/>
  </r>
  <r>
    <n v="31"/>
    <x v="30"/>
    <s v="03/07/2024"/>
    <x v="6"/>
    <x v="0"/>
    <x v="0"/>
    <n v="21.33"/>
    <n v="28.27"/>
    <n v="70.72"/>
    <n v="4"/>
    <n v="0.57189999999999996"/>
    <s v="FAIL"/>
    <s v="PASS"/>
    <s v="PASS"/>
    <s v="PASS"/>
    <s v="PASS"/>
    <x v="0"/>
    <n v="1"/>
    <n v="0"/>
    <n v="0"/>
    <n v="0"/>
    <n v="0"/>
  </r>
  <r>
    <n v="32"/>
    <x v="31"/>
    <s v="06/07/2024"/>
    <x v="6"/>
    <x v="0"/>
    <x v="0"/>
    <n v="13.78"/>
    <n v="26.69"/>
    <n v="55.74"/>
    <n v="4.0999999999999996"/>
    <n v="0.5655"/>
    <s v="PASS"/>
    <s v="PASS"/>
    <s v="PASS"/>
    <s v="PASS"/>
    <s v="PASS"/>
    <x v="1"/>
    <n v="0"/>
    <n v="0"/>
    <n v="0"/>
    <n v="0"/>
    <n v="0"/>
  </r>
  <r>
    <n v="33"/>
    <x v="32"/>
    <s v="20/07/2024"/>
    <x v="6"/>
    <x v="0"/>
    <x v="0"/>
    <n v="14.75"/>
    <n v="29.23"/>
    <n v="70.44"/>
    <n v="4.38"/>
    <n v="0.55820000000000003"/>
    <s v="PASS"/>
    <s v="PASS"/>
    <s v="PASS"/>
    <s v="PASS"/>
    <s v="FAIL"/>
    <x v="0"/>
    <n v="0"/>
    <n v="0"/>
    <n v="0"/>
    <n v="0"/>
    <n v="1"/>
  </r>
  <r>
    <n v="34"/>
    <x v="33"/>
    <s v="22/07/2024"/>
    <x v="6"/>
    <x v="0"/>
    <x v="0"/>
    <n v="8.1999999999999993"/>
    <n v="30.68"/>
    <n v="61.13"/>
    <n v="3.54"/>
    <n v="0.56640000000000001"/>
    <s v="PASS"/>
    <s v="PASS"/>
    <s v="PASS"/>
    <s v="PASS"/>
    <s v="PASS"/>
    <x v="1"/>
    <n v="0"/>
    <n v="0"/>
    <n v="0"/>
    <n v="0"/>
    <n v="0"/>
  </r>
  <r>
    <n v="35"/>
    <x v="34"/>
    <s v="28/07/2024"/>
    <x v="6"/>
    <x v="0"/>
    <x v="1"/>
    <n v="0.37"/>
    <n v="39.51"/>
    <n v="58.89"/>
    <n v="3.02"/>
    <n v="0.5857"/>
    <s v="PASS"/>
    <s v="PASS"/>
    <s v="PASS"/>
    <s v="PASS"/>
    <s v="FAIL"/>
    <x v="0"/>
    <n v="0"/>
    <n v="0"/>
    <n v="0"/>
    <n v="0"/>
    <n v="1"/>
  </r>
  <r>
    <n v="36"/>
    <x v="35"/>
    <s v="10/08/2024"/>
    <x v="7"/>
    <x v="0"/>
    <x v="0"/>
    <n v="14.96"/>
    <n v="37.9"/>
    <n v="52.95"/>
    <n v="3.52"/>
    <n v="0.56059999999999999"/>
    <s v="PASS"/>
    <s v="PASS"/>
    <s v="PASS"/>
    <s v="PASS"/>
    <s v="PASS"/>
    <x v="1"/>
    <n v="0"/>
    <n v="0"/>
    <n v="0"/>
    <n v="0"/>
    <n v="0"/>
  </r>
  <r>
    <n v="37"/>
    <x v="36"/>
    <s v="18/08/2024"/>
    <x v="7"/>
    <x v="0"/>
    <x v="0"/>
    <n v="14.26"/>
    <n v="33.92"/>
    <n v="54.48"/>
    <n v="4.07"/>
    <n v="0.56430000000000002"/>
    <s v="PASS"/>
    <s v="PASS"/>
    <s v="PASS"/>
    <s v="PASS"/>
    <s v="PASS"/>
    <x v="1"/>
    <n v="0"/>
    <n v="0"/>
    <n v="0"/>
    <n v="0"/>
    <n v="0"/>
  </r>
  <r>
    <n v="38"/>
    <x v="37"/>
    <s v="22/08/2024"/>
    <x v="7"/>
    <x v="0"/>
    <x v="0"/>
    <n v="17.149999999999999"/>
    <n v="22.66"/>
    <n v="59.32"/>
    <n v="3.69"/>
    <n v="0.55810000000000004"/>
    <s v="PASS"/>
    <s v="PASS"/>
    <s v="PASS"/>
    <s v="PASS"/>
    <s v="FAIL"/>
    <x v="0"/>
    <n v="0"/>
    <n v="0"/>
    <n v="0"/>
    <n v="0"/>
    <n v="1"/>
  </r>
  <r>
    <n v="39"/>
    <x v="38"/>
    <s v="27/08/2024"/>
    <x v="7"/>
    <x v="0"/>
    <x v="0"/>
    <n v="10.14"/>
    <n v="34.340000000000003"/>
    <n v="62.14"/>
    <n v="3.85"/>
    <n v="0.55820000000000003"/>
    <s v="PASS"/>
    <s v="PASS"/>
    <s v="PASS"/>
    <s v="PASS"/>
    <s v="FAIL"/>
    <x v="0"/>
    <n v="0"/>
    <n v="0"/>
    <n v="0"/>
    <n v="0"/>
    <n v="1"/>
  </r>
  <r>
    <n v="40"/>
    <x v="39"/>
    <s v="30/08/2024"/>
    <x v="7"/>
    <x v="0"/>
    <x v="1"/>
    <n v="0.74"/>
    <n v="40.36"/>
    <n v="67.23"/>
    <n v="3.08"/>
    <n v="0.57240000000000002"/>
    <s v="PASS"/>
    <s v="PASS"/>
    <s v="FAIL"/>
    <s v="PASS"/>
    <s v="PASS"/>
    <x v="0"/>
    <n v="0"/>
    <n v="0"/>
    <n v="1"/>
    <n v="0"/>
    <n v="0"/>
  </r>
  <r>
    <n v="41"/>
    <x v="40"/>
    <s v="02/09/2024"/>
    <x v="8"/>
    <x v="0"/>
    <x v="0"/>
    <n v="9.52"/>
    <n v="25.49"/>
    <n v="52.26"/>
    <n v="4.22"/>
    <n v="0.57920000000000005"/>
    <s v="PASS"/>
    <s v="PASS"/>
    <s v="PASS"/>
    <s v="PASS"/>
    <s v="PASS"/>
    <x v="1"/>
    <n v="0"/>
    <n v="0"/>
    <n v="0"/>
    <n v="0"/>
    <n v="0"/>
  </r>
  <r>
    <n v="42"/>
    <x v="41"/>
    <s v="12/09/2024"/>
    <x v="8"/>
    <x v="0"/>
    <x v="0"/>
    <n v="8.85"/>
    <n v="37.74"/>
    <n v="69.02"/>
    <n v="4.43"/>
    <n v="0.55789999999999995"/>
    <s v="PASS"/>
    <s v="PASS"/>
    <s v="PASS"/>
    <s v="PASS"/>
    <s v="FAIL"/>
    <x v="0"/>
    <n v="0"/>
    <n v="0"/>
    <n v="0"/>
    <n v="0"/>
    <n v="1"/>
  </r>
  <r>
    <n v="43"/>
    <x v="42"/>
    <s v="26/09/2024"/>
    <x v="8"/>
    <x v="0"/>
    <x v="0"/>
    <n v="10.99"/>
    <n v="37.75"/>
    <n v="67.650000000000006"/>
    <n v="4.3099999999999996"/>
    <n v="0.57750000000000001"/>
    <s v="PASS"/>
    <s v="PASS"/>
    <s v="PASS"/>
    <s v="PASS"/>
    <s v="PASS"/>
    <x v="1"/>
    <n v="0"/>
    <n v="0"/>
    <n v="0"/>
    <n v="0"/>
    <n v="0"/>
  </r>
  <r>
    <n v="44"/>
    <x v="43"/>
    <s v="28/09/2024"/>
    <x v="8"/>
    <x v="0"/>
    <x v="0"/>
    <n v="8.3000000000000007"/>
    <n v="36.700000000000003"/>
    <n v="68.89"/>
    <n v="3.63"/>
    <n v="0.5776"/>
    <s v="PASS"/>
    <s v="PASS"/>
    <s v="PASS"/>
    <s v="PASS"/>
    <s v="PASS"/>
    <x v="1"/>
    <n v="0"/>
    <n v="0"/>
    <n v="0"/>
    <n v="0"/>
    <n v="0"/>
  </r>
  <r>
    <n v="45"/>
    <x v="44"/>
    <s v="29/09/2024"/>
    <x v="8"/>
    <x v="0"/>
    <x v="1"/>
    <n v="0.68"/>
    <n v="37.82"/>
    <n v="54.21"/>
    <n v="2.99"/>
    <n v="0.57530000000000003"/>
    <s v="PASS"/>
    <s v="PASS"/>
    <s v="PASS"/>
    <s v="PASS"/>
    <s v="PASS"/>
    <x v="1"/>
    <n v="0"/>
    <n v="0"/>
    <n v="0"/>
    <n v="0"/>
    <n v="0"/>
  </r>
  <r>
    <n v="46"/>
    <x v="45"/>
    <s v="09/10/2024"/>
    <x v="9"/>
    <x v="0"/>
    <x v="0"/>
    <n v="15.15"/>
    <n v="36.19"/>
    <n v="57.29"/>
    <n v="3.43"/>
    <n v="0.57899999999999996"/>
    <s v="PASS"/>
    <s v="PASS"/>
    <s v="PASS"/>
    <s v="PASS"/>
    <s v="PASS"/>
    <x v="1"/>
    <n v="0"/>
    <n v="0"/>
    <n v="0"/>
    <n v="0"/>
    <n v="0"/>
  </r>
  <r>
    <n v="47"/>
    <x v="46"/>
    <s v="12/10/2024"/>
    <x v="9"/>
    <x v="0"/>
    <x v="0"/>
    <n v="18.8"/>
    <n v="21.69"/>
    <n v="63.12"/>
    <n v="3.76"/>
    <n v="0.57689999999999997"/>
    <s v="PASS"/>
    <s v="PASS"/>
    <s v="PASS"/>
    <s v="PASS"/>
    <s v="PASS"/>
    <x v="1"/>
    <n v="0"/>
    <n v="0"/>
    <n v="0"/>
    <n v="0"/>
    <n v="0"/>
  </r>
  <r>
    <n v="48"/>
    <x v="47"/>
    <s v="13/10/2024"/>
    <x v="9"/>
    <x v="0"/>
    <x v="0"/>
    <n v="8.39"/>
    <n v="37.19"/>
    <n v="54.18"/>
    <n v="3.45"/>
    <n v="0.56850000000000001"/>
    <s v="PASS"/>
    <s v="PASS"/>
    <s v="PASS"/>
    <s v="PASS"/>
    <s v="PASS"/>
    <x v="1"/>
    <n v="0"/>
    <n v="0"/>
    <n v="0"/>
    <n v="0"/>
    <n v="0"/>
  </r>
  <r>
    <n v="49"/>
    <x v="48"/>
    <s v="17/10/2024"/>
    <x v="9"/>
    <x v="0"/>
    <x v="0"/>
    <n v="15.24"/>
    <n v="37.92"/>
    <n v="66.209999999999994"/>
    <n v="3.61"/>
    <n v="0.56840000000000002"/>
    <s v="PASS"/>
    <s v="PASS"/>
    <s v="PASS"/>
    <s v="PASS"/>
    <s v="PASS"/>
    <x v="1"/>
    <n v="0"/>
    <n v="0"/>
    <n v="0"/>
    <n v="0"/>
    <n v="0"/>
  </r>
  <r>
    <n v="50"/>
    <x v="49"/>
    <s v="21/10/2024"/>
    <x v="9"/>
    <x v="0"/>
    <x v="1"/>
    <n v="0.56999999999999995"/>
    <n v="41.31"/>
    <n v="55.12"/>
    <n v="3.16"/>
    <n v="0.57809999999999995"/>
    <s v="PASS"/>
    <s v="PASS"/>
    <s v="PASS"/>
    <s v="PASS"/>
    <s v="PASS"/>
    <x v="1"/>
    <n v="0"/>
    <n v="0"/>
    <n v="0"/>
    <n v="0"/>
    <n v="0"/>
  </r>
  <r>
    <n v="51"/>
    <x v="50"/>
    <s v="05/11/2024"/>
    <x v="10"/>
    <x v="0"/>
    <x v="0"/>
    <n v="12.05"/>
    <n v="37.93"/>
    <n v="64.900000000000006"/>
    <n v="4.3499999999999996"/>
    <n v="0.57279999999999998"/>
    <s v="PASS"/>
    <s v="PASS"/>
    <s v="PASS"/>
    <s v="PASS"/>
    <s v="PASS"/>
    <x v="1"/>
    <n v="0"/>
    <n v="0"/>
    <n v="0"/>
    <n v="0"/>
    <n v="0"/>
  </r>
  <r>
    <n v="52"/>
    <x v="51"/>
    <s v="07/11/2024"/>
    <x v="10"/>
    <x v="0"/>
    <x v="0"/>
    <n v="7"/>
    <n v="26.16"/>
    <n v="59.46"/>
    <n v="4.01"/>
    <n v="0.57369999999999999"/>
    <s v="PASS"/>
    <s v="PASS"/>
    <s v="PASS"/>
    <s v="PASS"/>
    <s v="PASS"/>
    <x v="1"/>
    <n v="0"/>
    <n v="0"/>
    <n v="0"/>
    <n v="0"/>
    <n v="0"/>
  </r>
  <r>
    <n v="53"/>
    <x v="52"/>
    <s v="10/11/2024"/>
    <x v="10"/>
    <x v="0"/>
    <x v="0"/>
    <n v="9.56"/>
    <n v="29.52"/>
    <n v="69.83"/>
    <n v="4.24"/>
    <n v="0.56210000000000004"/>
    <s v="PASS"/>
    <s v="PASS"/>
    <s v="PASS"/>
    <s v="PASS"/>
    <s v="PASS"/>
    <x v="1"/>
    <n v="0"/>
    <n v="0"/>
    <n v="0"/>
    <n v="0"/>
    <n v="0"/>
  </r>
  <r>
    <n v="54"/>
    <x v="53"/>
    <s v="18/11/2024"/>
    <x v="10"/>
    <x v="0"/>
    <x v="0"/>
    <n v="14.6"/>
    <n v="27.03"/>
    <n v="68.010000000000005"/>
    <n v="4.1900000000000004"/>
    <n v="0.57410000000000005"/>
    <s v="PASS"/>
    <s v="PASS"/>
    <s v="PASS"/>
    <s v="PASS"/>
    <s v="PASS"/>
    <x v="1"/>
    <n v="0"/>
    <n v="0"/>
    <n v="0"/>
    <n v="0"/>
    <n v="0"/>
  </r>
  <r>
    <n v="55"/>
    <x v="54"/>
    <s v="23/11/2024"/>
    <x v="10"/>
    <x v="0"/>
    <x v="1"/>
    <n v="0.21"/>
    <n v="37.96"/>
    <n v="58.28"/>
    <n v="3.15"/>
    <n v="0.57120000000000004"/>
    <s v="PASS"/>
    <s v="PASS"/>
    <s v="PASS"/>
    <s v="PASS"/>
    <s v="FAIL"/>
    <x v="0"/>
    <n v="0"/>
    <n v="0"/>
    <n v="0"/>
    <n v="0"/>
    <n v="1"/>
  </r>
  <r>
    <n v="56"/>
    <x v="55"/>
    <s v="07/12/2024"/>
    <x v="11"/>
    <x v="0"/>
    <x v="0"/>
    <n v="8.77"/>
    <n v="33.380000000000003"/>
    <n v="69.64"/>
    <n v="4.3"/>
    <n v="0.57930000000000004"/>
    <s v="PASS"/>
    <s v="PASS"/>
    <s v="PASS"/>
    <s v="PASS"/>
    <s v="PASS"/>
    <x v="1"/>
    <n v="0"/>
    <n v="0"/>
    <n v="0"/>
    <n v="0"/>
    <n v="0"/>
  </r>
  <r>
    <n v="57"/>
    <x v="56"/>
    <s v="08/12/2024"/>
    <x v="11"/>
    <x v="0"/>
    <x v="0"/>
    <n v="16.649999999999999"/>
    <n v="33.53"/>
    <n v="60.22"/>
    <n v="3.99"/>
    <n v="0.57999999999999996"/>
    <s v="PASS"/>
    <s v="PASS"/>
    <s v="PASS"/>
    <s v="PASS"/>
    <s v="PASS"/>
    <x v="1"/>
    <n v="0"/>
    <n v="0"/>
    <n v="0"/>
    <n v="0"/>
    <n v="0"/>
  </r>
  <r>
    <n v="58"/>
    <x v="57"/>
    <s v="13/12/2024"/>
    <x v="11"/>
    <x v="0"/>
    <x v="0"/>
    <n v="12.58"/>
    <n v="30.56"/>
    <n v="62.3"/>
    <n v="3.73"/>
    <n v="0.57609999999999995"/>
    <s v="PASS"/>
    <s v="PASS"/>
    <s v="PASS"/>
    <s v="PASS"/>
    <s v="PASS"/>
    <x v="1"/>
    <n v="0"/>
    <n v="0"/>
    <n v="0"/>
    <n v="0"/>
    <n v="0"/>
  </r>
  <r>
    <n v="59"/>
    <x v="58"/>
    <s v="16/12/2024"/>
    <x v="11"/>
    <x v="0"/>
    <x v="0"/>
    <n v="17.7"/>
    <n v="28.68"/>
    <n v="69.95"/>
    <n v="3.87"/>
    <n v="0.56179999999999997"/>
    <s v="PASS"/>
    <s v="PASS"/>
    <s v="PASS"/>
    <s v="PASS"/>
    <s v="PASS"/>
    <x v="1"/>
    <n v="0"/>
    <n v="0"/>
    <n v="0"/>
    <n v="0"/>
    <n v="0"/>
  </r>
  <r>
    <n v="60"/>
    <x v="59"/>
    <s v="23/12/2024"/>
    <x v="11"/>
    <x v="0"/>
    <x v="1"/>
    <n v="0.65"/>
    <n v="42.72"/>
    <n v="56.5"/>
    <n v="3.13"/>
    <n v="0.57779999999999998"/>
    <s v="PASS"/>
    <s v="PASS"/>
    <s v="PASS"/>
    <s v="PASS"/>
    <s v="PASS"/>
    <x v="1"/>
    <n v="0"/>
    <n v="0"/>
    <n v="0"/>
    <n v="0"/>
    <n v="0"/>
  </r>
  <r>
    <n v="61"/>
    <x v="60"/>
    <s v="08/01/2025"/>
    <x v="0"/>
    <x v="1"/>
    <x v="0"/>
    <n v="10.84"/>
    <n v="30.72"/>
    <n v="53.04"/>
    <n v="3.64"/>
    <n v="0.57469999999999999"/>
    <s v="PASS"/>
    <s v="PASS"/>
    <s v="PASS"/>
    <s v="PASS"/>
    <s v="PASS"/>
    <x v="1"/>
    <n v="0"/>
    <n v="0"/>
    <n v="0"/>
    <n v="0"/>
    <n v="0"/>
  </r>
  <r>
    <n v="62"/>
    <x v="61"/>
    <s v="09/01/2025"/>
    <x v="0"/>
    <x v="1"/>
    <x v="0"/>
    <n v="11.89"/>
    <n v="30.77"/>
    <n v="59.15"/>
    <n v="3.62"/>
    <n v="0.56810000000000005"/>
    <s v="PASS"/>
    <s v="PASS"/>
    <s v="PASS"/>
    <s v="PASS"/>
    <s v="PASS"/>
    <x v="1"/>
    <n v="0"/>
    <n v="0"/>
    <n v="0"/>
    <n v="0"/>
    <n v="0"/>
  </r>
  <r>
    <n v="63"/>
    <x v="62"/>
    <s v="10/01/2025"/>
    <x v="0"/>
    <x v="1"/>
    <x v="0"/>
    <n v="15.35"/>
    <n v="36.42"/>
    <n v="66.84"/>
    <n v="3.8"/>
    <n v="0.55810000000000004"/>
    <s v="PASS"/>
    <s v="PASS"/>
    <s v="PASS"/>
    <s v="PASS"/>
    <s v="FAIL"/>
    <x v="0"/>
    <n v="0"/>
    <n v="0"/>
    <n v="0"/>
    <n v="0"/>
    <n v="1"/>
  </r>
  <r>
    <n v="64"/>
    <x v="63"/>
    <s v="11/01/2025"/>
    <x v="0"/>
    <x v="1"/>
    <x v="0"/>
    <n v="17.239999999999998"/>
    <n v="38.159999999999997"/>
    <n v="59.22"/>
    <n v="4.18"/>
    <n v="0.57110000000000005"/>
    <s v="PASS"/>
    <s v="PASS"/>
    <s v="PASS"/>
    <s v="PASS"/>
    <s v="PASS"/>
    <x v="1"/>
    <n v="0"/>
    <n v="0"/>
    <n v="0"/>
    <n v="0"/>
    <n v="0"/>
  </r>
  <r>
    <n v="65"/>
    <x v="64"/>
    <s v="23/01/2025"/>
    <x v="0"/>
    <x v="1"/>
    <x v="1"/>
    <n v="0.33"/>
    <n v="39.49"/>
    <n v="54.26"/>
    <n v="3.03"/>
    <n v="0.58089999999999997"/>
    <s v="PASS"/>
    <s v="PASS"/>
    <s v="PASS"/>
    <s v="PASS"/>
    <s v="PASS"/>
    <x v="1"/>
    <n v="0"/>
    <n v="0"/>
    <n v="0"/>
    <n v="0"/>
    <n v="0"/>
  </r>
  <r>
    <n v="66"/>
    <x v="65"/>
    <s v="01/02/2025"/>
    <x v="1"/>
    <x v="1"/>
    <x v="0"/>
    <n v="17.88"/>
    <n v="31.65"/>
    <n v="64.59"/>
    <n v="3.49"/>
    <n v="0.56830000000000003"/>
    <s v="PASS"/>
    <s v="PASS"/>
    <s v="PASS"/>
    <s v="PASS"/>
    <s v="PASS"/>
    <x v="1"/>
    <n v="0"/>
    <n v="0"/>
    <n v="0"/>
    <n v="0"/>
    <n v="0"/>
  </r>
  <r>
    <n v="67"/>
    <x v="66"/>
    <s v="05/02/2025"/>
    <x v="1"/>
    <x v="1"/>
    <x v="0"/>
    <n v="10.119999999999999"/>
    <n v="26.89"/>
    <n v="60"/>
    <n v="3.75"/>
    <n v="0.57909999999999995"/>
    <s v="PASS"/>
    <s v="PASS"/>
    <s v="PASS"/>
    <s v="PASS"/>
    <s v="PASS"/>
    <x v="1"/>
    <n v="0"/>
    <n v="0"/>
    <n v="0"/>
    <n v="0"/>
    <n v="0"/>
  </r>
  <r>
    <n v="68"/>
    <x v="67"/>
    <s v="15/02/2025"/>
    <x v="1"/>
    <x v="1"/>
    <x v="0"/>
    <n v="12.06"/>
    <n v="36.03"/>
    <n v="60.35"/>
    <n v="4.1900000000000004"/>
    <n v="0.55930000000000002"/>
    <s v="PASS"/>
    <s v="PASS"/>
    <s v="PASS"/>
    <s v="PASS"/>
    <s v="FAIL"/>
    <x v="0"/>
    <n v="0"/>
    <n v="0"/>
    <n v="0"/>
    <n v="0"/>
    <n v="1"/>
  </r>
  <r>
    <n v="69"/>
    <x v="68"/>
    <s v="18/02/2025"/>
    <x v="1"/>
    <x v="1"/>
    <x v="0"/>
    <n v="7.82"/>
    <n v="38.229999999999997"/>
    <n v="50.89"/>
    <n v="3.43"/>
    <n v="0.56389999999999996"/>
    <s v="PASS"/>
    <s v="PASS"/>
    <s v="PASS"/>
    <s v="PASS"/>
    <s v="PASS"/>
    <x v="1"/>
    <n v="0"/>
    <n v="0"/>
    <n v="0"/>
    <n v="0"/>
    <n v="0"/>
  </r>
  <r>
    <n v="70"/>
    <x v="69"/>
    <s v="20/02/2025"/>
    <x v="1"/>
    <x v="1"/>
    <x v="1"/>
    <n v="0.34"/>
    <n v="39.79"/>
    <n v="55.03"/>
    <n v="3.17"/>
    <n v="0.57740000000000002"/>
    <s v="PASS"/>
    <s v="PASS"/>
    <s v="PASS"/>
    <s v="PASS"/>
    <s v="PASS"/>
    <x v="1"/>
    <n v="0"/>
    <n v="0"/>
    <n v="0"/>
    <n v="0"/>
    <n v="0"/>
  </r>
  <r>
    <n v="71"/>
    <x v="70"/>
    <s v="04/03/2025"/>
    <x v="2"/>
    <x v="1"/>
    <x v="0"/>
    <n v="16.329999999999998"/>
    <n v="23.95"/>
    <n v="56.84"/>
    <n v="4.01"/>
    <n v="0.58030000000000004"/>
    <s v="PASS"/>
    <s v="PASS"/>
    <s v="PASS"/>
    <s v="PASS"/>
    <s v="FAIL"/>
    <x v="0"/>
    <n v="0"/>
    <n v="0"/>
    <n v="0"/>
    <n v="0"/>
    <n v="1"/>
  </r>
  <r>
    <n v="72"/>
    <x v="71"/>
    <s v="20/03/2025"/>
    <x v="2"/>
    <x v="1"/>
    <x v="0"/>
    <n v="11.5"/>
    <n v="37.950000000000003"/>
    <n v="54.36"/>
    <n v="4.0199999999999996"/>
    <n v="0.57789999999999997"/>
    <s v="PASS"/>
    <s v="PASS"/>
    <s v="PASS"/>
    <s v="PASS"/>
    <s v="PASS"/>
    <x v="1"/>
    <n v="0"/>
    <n v="0"/>
    <n v="0"/>
    <n v="0"/>
    <n v="0"/>
  </r>
  <r>
    <n v="73"/>
    <x v="72"/>
    <s v="23/03/2025"/>
    <x v="2"/>
    <x v="1"/>
    <x v="0"/>
    <n v="23.13"/>
    <n v="33.32"/>
    <n v="67.72"/>
    <n v="4.24"/>
    <n v="0.5716"/>
    <s v="FAIL"/>
    <s v="PASS"/>
    <s v="PASS"/>
    <s v="PASS"/>
    <s v="PASS"/>
    <x v="0"/>
    <n v="1"/>
    <n v="0"/>
    <n v="0"/>
    <n v="0"/>
    <n v="0"/>
  </r>
  <r>
    <n v="74"/>
    <x v="73"/>
    <s v="24/03/2025"/>
    <x v="2"/>
    <x v="1"/>
    <x v="0"/>
    <n v="7.83"/>
    <n v="32.659999999999997"/>
    <n v="50.28"/>
    <n v="3.84"/>
    <n v="0.56979999999999997"/>
    <s v="PASS"/>
    <s v="PASS"/>
    <s v="PASS"/>
    <s v="PASS"/>
    <s v="PASS"/>
    <x v="1"/>
    <n v="0"/>
    <n v="0"/>
    <n v="0"/>
    <n v="0"/>
    <n v="0"/>
  </r>
  <r>
    <n v="75"/>
    <x v="74"/>
    <s v="31/03/2025"/>
    <x v="2"/>
    <x v="1"/>
    <x v="1"/>
    <n v="0.73"/>
    <n v="39.68"/>
    <n v="55.38"/>
    <n v="2.99"/>
    <n v="0.57830000000000004"/>
    <s v="PASS"/>
    <s v="PASS"/>
    <s v="PASS"/>
    <s v="PASS"/>
    <s v="PASS"/>
    <x v="1"/>
    <n v="0"/>
    <n v="0"/>
    <n v="0"/>
    <n v="0"/>
    <n v="0"/>
  </r>
  <r>
    <n v="76"/>
    <x v="75"/>
    <s v="15/04/2025"/>
    <x v="3"/>
    <x v="1"/>
    <x v="0"/>
    <n v="12.23"/>
    <n v="34.159999999999997"/>
    <n v="55.9"/>
    <n v="4.29"/>
    <n v="0.57789999999999997"/>
    <s v="PASS"/>
    <s v="PASS"/>
    <s v="PASS"/>
    <s v="PASS"/>
    <s v="PASS"/>
    <x v="1"/>
    <n v="0"/>
    <n v="0"/>
    <n v="0"/>
    <n v="0"/>
    <n v="0"/>
  </r>
  <r>
    <n v="77"/>
    <x v="76"/>
    <s v="16/04/2025"/>
    <x v="3"/>
    <x v="1"/>
    <x v="0"/>
    <n v="9.93"/>
    <n v="29.36"/>
    <n v="63.43"/>
    <n v="3.8"/>
    <n v="0.55869999999999997"/>
    <s v="PASS"/>
    <s v="PASS"/>
    <s v="PASS"/>
    <s v="PASS"/>
    <s v="FAIL"/>
    <x v="0"/>
    <n v="0"/>
    <n v="0"/>
    <n v="0"/>
    <n v="0"/>
    <n v="1"/>
  </r>
  <r>
    <n v="78"/>
    <x v="77"/>
    <s v="18/04/2025"/>
    <x v="3"/>
    <x v="1"/>
    <x v="0"/>
    <n v="9.5500000000000007"/>
    <n v="35.36"/>
    <n v="57.49"/>
    <n v="4.32"/>
    <n v="0.55879999999999996"/>
    <s v="PASS"/>
    <s v="PASS"/>
    <s v="PASS"/>
    <s v="PASS"/>
    <s v="FAIL"/>
    <x v="0"/>
    <n v="0"/>
    <n v="0"/>
    <n v="0"/>
    <n v="0"/>
    <n v="1"/>
  </r>
  <r>
    <n v="79"/>
    <x v="78"/>
    <s v="25/04/2025"/>
    <x v="3"/>
    <x v="1"/>
    <x v="0"/>
    <n v="8.0299999999999994"/>
    <n v="33.96"/>
    <n v="60.75"/>
    <n v="4.2"/>
    <n v="0.5746"/>
    <s v="PASS"/>
    <s v="PASS"/>
    <s v="PASS"/>
    <s v="PASS"/>
    <s v="PASS"/>
    <x v="1"/>
    <n v="0"/>
    <n v="0"/>
    <n v="0"/>
    <n v="0"/>
    <n v="0"/>
  </r>
  <r>
    <n v="80"/>
    <x v="79"/>
    <s v="30/04/2025"/>
    <x v="3"/>
    <x v="1"/>
    <x v="1"/>
    <n v="0.68"/>
    <n v="36.74"/>
    <n v="55.99"/>
    <n v="3.11"/>
    <n v="0.57489999999999997"/>
    <s v="PASS"/>
    <s v="PASS"/>
    <s v="PASS"/>
    <s v="PASS"/>
    <s v="PASS"/>
    <x v="1"/>
    <n v="0"/>
    <n v="0"/>
    <n v="0"/>
    <n v="0"/>
    <n v="0"/>
  </r>
  <r>
    <n v="81"/>
    <x v="80"/>
    <s v="12/05/2025"/>
    <x v="4"/>
    <x v="1"/>
    <x v="0"/>
    <n v="10.97"/>
    <n v="33.65"/>
    <n v="55.96"/>
    <n v="3.66"/>
    <n v="0.56089999999999995"/>
    <s v="PASS"/>
    <s v="PASS"/>
    <s v="PASS"/>
    <s v="PASS"/>
    <s v="PASS"/>
    <x v="1"/>
    <n v="0"/>
    <n v="0"/>
    <n v="0"/>
    <n v="0"/>
    <n v="0"/>
  </r>
  <r>
    <n v="82"/>
    <x v="81"/>
    <s v="14/05/2025"/>
    <x v="4"/>
    <x v="1"/>
    <x v="0"/>
    <n v="13.43"/>
    <n v="34.72"/>
    <n v="54.07"/>
    <n v="3.63"/>
    <n v="0.5696"/>
    <s v="PASS"/>
    <s v="PASS"/>
    <s v="PASS"/>
    <s v="PASS"/>
    <s v="PASS"/>
    <x v="1"/>
    <n v="0"/>
    <n v="0"/>
    <n v="0"/>
    <n v="0"/>
    <n v="0"/>
  </r>
  <r>
    <n v="83"/>
    <x v="82"/>
    <s v="17/05/2025"/>
    <x v="4"/>
    <x v="1"/>
    <x v="0"/>
    <n v="13.3"/>
    <n v="26.09"/>
    <n v="52.21"/>
    <n v="3.6"/>
    <n v="0.55710000000000004"/>
    <s v="PASS"/>
    <s v="PASS"/>
    <s v="PASS"/>
    <s v="PASS"/>
    <s v="FAIL"/>
    <x v="0"/>
    <n v="0"/>
    <n v="0"/>
    <n v="0"/>
    <n v="0"/>
    <n v="1"/>
  </r>
  <r>
    <n v="84"/>
    <x v="83"/>
    <s v="18/05/2025"/>
    <x v="4"/>
    <x v="1"/>
    <x v="0"/>
    <n v="10.29"/>
    <n v="38.54"/>
    <n v="62.17"/>
    <n v="4.13"/>
    <n v="0.56100000000000005"/>
    <s v="PASS"/>
    <s v="PASS"/>
    <s v="PASS"/>
    <s v="PASS"/>
    <s v="PASS"/>
    <x v="1"/>
    <n v="0"/>
    <n v="0"/>
    <n v="0"/>
    <n v="0"/>
    <n v="0"/>
  </r>
  <r>
    <n v="85"/>
    <x v="84"/>
    <s v="24/05/2025"/>
    <x v="4"/>
    <x v="1"/>
    <x v="1"/>
    <n v="0.72"/>
    <n v="40.590000000000003"/>
    <n v="69.760000000000005"/>
    <n v="3.05"/>
    <n v="0.57289999999999996"/>
    <s v="PASS"/>
    <s v="PASS"/>
    <s v="FAIL"/>
    <s v="PASS"/>
    <s v="PASS"/>
    <x v="0"/>
    <n v="0"/>
    <n v="0"/>
    <n v="1"/>
    <n v="0"/>
    <n v="0"/>
  </r>
  <r>
    <n v="86"/>
    <x v="85"/>
    <s v="03/06/2025"/>
    <x v="5"/>
    <x v="1"/>
    <x v="0"/>
    <n v="14.55"/>
    <n v="21.96"/>
    <n v="53.28"/>
    <n v="3.99"/>
    <n v="0.56530000000000002"/>
    <s v="PASS"/>
    <s v="PASS"/>
    <s v="PASS"/>
    <s v="PASS"/>
    <s v="PASS"/>
    <x v="1"/>
    <n v="0"/>
    <n v="0"/>
    <n v="0"/>
    <n v="0"/>
    <n v="0"/>
  </r>
  <r>
    <n v="87"/>
    <x v="86"/>
    <s v="13/06/2025"/>
    <x v="5"/>
    <x v="1"/>
    <x v="0"/>
    <n v="16.170000000000002"/>
    <n v="31.91"/>
    <n v="67.400000000000006"/>
    <n v="3.64"/>
    <n v="0.57050000000000001"/>
    <s v="PASS"/>
    <s v="PASS"/>
    <s v="PASS"/>
    <s v="PASS"/>
    <s v="PASS"/>
    <x v="1"/>
    <n v="0"/>
    <n v="0"/>
    <n v="0"/>
    <n v="0"/>
    <n v="0"/>
  </r>
  <r>
    <n v="88"/>
    <x v="87"/>
    <s v="16/06/2025"/>
    <x v="5"/>
    <x v="1"/>
    <x v="0"/>
    <n v="17.32"/>
    <n v="38.82"/>
    <n v="56.72"/>
    <n v="4.05"/>
    <n v="0.5726"/>
    <s v="PASS"/>
    <s v="PASS"/>
    <s v="PASS"/>
    <s v="PASS"/>
    <s v="PASS"/>
    <x v="1"/>
    <n v="0"/>
    <n v="0"/>
    <n v="0"/>
    <n v="0"/>
    <n v="0"/>
  </r>
  <r>
    <n v="89"/>
    <x v="88"/>
    <s v="19/06/2025"/>
    <x v="5"/>
    <x v="1"/>
    <x v="0"/>
    <n v="9.49"/>
    <n v="24.8"/>
    <n v="64.53"/>
    <n v="3.56"/>
    <n v="0.55679999999999996"/>
    <s v="PASS"/>
    <s v="PASS"/>
    <s v="PASS"/>
    <s v="PASS"/>
    <s v="FAIL"/>
    <x v="0"/>
    <n v="0"/>
    <n v="0"/>
    <n v="0"/>
    <n v="0"/>
    <n v="1"/>
  </r>
  <r>
    <n v="90"/>
    <x v="89"/>
    <s v="27/06/2025"/>
    <x v="5"/>
    <x v="1"/>
    <x v="1"/>
    <n v="0.56000000000000005"/>
    <n v="38.33"/>
    <n v="56.08"/>
    <n v="3.11"/>
    <n v="0.58120000000000005"/>
    <s v="PASS"/>
    <s v="PASS"/>
    <s v="PASS"/>
    <s v="PASS"/>
    <s v="PASS"/>
    <x v="1"/>
    <n v="0"/>
    <n v="0"/>
    <n v="0"/>
    <n v="0"/>
    <n v="0"/>
  </r>
  <r>
    <n v="91"/>
    <x v="90"/>
    <s v="09/07/2025"/>
    <x v="6"/>
    <x v="1"/>
    <x v="0"/>
    <n v="14.93"/>
    <n v="37.81"/>
    <n v="59.35"/>
    <n v="3.97"/>
    <n v="0.57350000000000001"/>
    <s v="PASS"/>
    <s v="PASS"/>
    <s v="PASS"/>
    <s v="PASS"/>
    <s v="PASS"/>
    <x v="1"/>
    <n v="0"/>
    <n v="0"/>
    <n v="0"/>
    <n v="0"/>
    <n v="0"/>
  </r>
  <r>
    <n v="92"/>
    <x v="91"/>
    <s v="19/07/2025"/>
    <x v="6"/>
    <x v="1"/>
    <x v="0"/>
    <n v="7.86"/>
    <n v="23.99"/>
    <n v="56.77"/>
    <n v="4.1900000000000004"/>
    <n v="0.57169999999999999"/>
    <s v="PASS"/>
    <s v="PASS"/>
    <s v="PASS"/>
    <s v="PASS"/>
    <s v="PASS"/>
    <x v="1"/>
    <n v="0"/>
    <n v="0"/>
    <n v="0"/>
    <n v="0"/>
    <n v="0"/>
  </r>
  <r>
    <n v="93"/>
    <x v="92"/>
    <s v="21/07/2025"/>
    <x v="6"/>
    <x v="1"/>
    <x v="0"/>
    <n v="15.26"/>
    <n v="33.6"/>
    <n v="70.739999999999995"/>
    <n v="3.93"/>
    <n v="0.55669999999999997"/>
    <s v="PASS"/>
    <s v="PASS"/>
    <s v="PASS"/>
    <s v="PASS"/>
    <s v="FAIL"/>
    <x v="0"/>
    <n v="0"/>
    <n v="0"/>
    <n v="0"/>
    <n v="0"/>
    <n v="1"/>
  </r>
  <r>
    <n v="94"/>
    <x v="93"/>
    <s v="26/07/2025"/>
    <x v="6"/>
    <x v="1"/>
    <x v="0"/>
    <n v="10.87"/>
    <n v="25.51"/>
    <n v="52.01"/>
    <n v="4.41"/>
    <n v="0.57809999999999995"/>
    <s v="PASS"/>
    <s v="PASS"/>
    <s v="PASS"/>
    <s v="PASS"/>
    <s v="PASS"/>
    <x v="1"/>
    <n v="0"/>
    <n v="0"/>
    <n v="0"/>
    <n v="0"/>
    <n v="0"/>
  </r>
  <r>
    <n v="95"/>
    <x v="94"/>
    <s v="30/07/2025"/>
    <x v="6"/>
    <x v="1"/>
    <x v="1"/>
    <n v="0.8"/>
    <n v="41.38"/>
    <n v="56.43"/>
    <n v="2.96"/>
    <n v="0.58209999999999995"/>
    <s v="PASS"/>
    <s v="PASS"/>
    <s v="PASS"/>
    <s v="PASS"/>
    <s v="PASS"/>
    <x v="1"/>
    <n v="0"/>
    <n v="0"/>
    <n v="0"/>
    <n v="0"/>
    <n v="0"/>
  </r>
  <r>
    <n v="96"/>
    <x v="95"/>
    <s v="06/08/2025"/>
    <x v="7"/>
    <x v="1"/>
    <x v="0"/>
    <n v="14.62"/>
    <n v="29.85"/>
    <n v="52.01"/>
    <n v="3.77"/>
    <n v="0.56599999999999995"/>
    <s v="PASS"/>
    <s v="PASS"/>
    <s v="PASS"/>
    <s v="PASS"/>
    <s v="PASS"/>
    <x v="1"/>
    <n v="0"/>
    <n v="0"/>
    <n v="0"/>
    <n v="0"/>
    <n v="0"/>
  </r>
  <r>
    <n v="97"/>
    <x v="96"/>
    <s v="09/08/2025"/>
    <x v="7"/>
    <x v="1"/>
    <x v="0"/>
    <n v="10.96"/>
    <n v="33.49"/>
    <n v="56.34"/>
    <n v="4.3899999999999997"/>
    <n v="0.57750000000000001"/>
    <s v="PASS"/>
    <s v="PASS"/>
    <s v="PASS"/>
    <s v="PASS"/>
    <s v="PASS"/>
    <x v="1"/>
    <n v="0"/>
    <n v="0"/>
    <n v="0"/>
    <n v="0"/>
    <n v="0"/>
  </r>
  <r>
    <n v="98"/>
    <x v="97"/>
    <s v="14/08/2025"/>
    <x v="7"/>
    <x v="1"/>
    <x v="0"/>
    <n v="10.77"/>
    <n v="26.82"/>
    <n v="71.34"/>
    <n v="3.82"/>
    <n v="0.57040000000000002"/>
    <s v="PASS"/>
    <s v="PASS"/>
    <s v="PASS"/>
    <s v="PASS"/>
    <s v="PASS"/>
    <x v="1"/>
    <n v="0"/>
    <n v="0"/>
    <n v="0"/>
    <n v="0"/>
    <n v="0"/>
  </r>
  <r>
    <n v="99"/>
    <x v="98"/>
    <s v="19/08/2025"/>
    <x v="7"/>
    <x v="1"/>
    <x v="0"/>
    <n v="13.51"/>
    <n v="28.44"/>
    <n v="54.13"/>
    <n v="3.78"/>
    <n v="0.57620000000000005"/>
    <s v="PASS"/>
    <s v="PASS"/>
    <s v="PASS"/>
    <s v="PASS"/>
    <s v="PASS"/>
    <x v="1"/>
    <n v="0"/>
    <n v="0"/>
    <n v="0"/>
    <n v="0"/>
    <n v="0"/>
  </r>
  <r>
    <n v="100"/>
    <x v="99"/>
    <s v="30/08/2025"/>
    <x v="7"/>
    <x v="1"/>
    <x v="1"/>
    <n v="0.32"/>
    <n v="40.39"/>
    <n v="69.89"/>
    <n v="3.05"/>
    <n v="0.58120000000000005"/>
    <s v="PASS"/>
    <s v="PASS"/>
    <s v="FAIL"/>
    <s v="PASS"/>
    <s v="PASS"/>
    <x v="0"/>
    <n v="0"/>
    <n v="0"/>
    <n v="1"/>
    <n v="0"/>
    <n v="0"/>
  </r>
  <r>
    <n v="101"/>
    <x v="100"/>
    <s v="06/09/2025"/>
    <x v="8"/>
    <x v="1"/>
    <x v="0"/>
    <n v="7.16"/>
    <n v="28.34"/>
    <n v="54.94"/>
    <n v="4.28"/>
    <n v="0.56069999999999998"/>
    <s v="PASS"/>
    <s v="PASS"/>
    <s v="PASS"/>
    <s v="PASS"/>
    <s v="PASS"/>
    <x v="1"/>
    <n v="0"/>
    <n v="0"/>
    <n v="0"/>
    <n v="0"/>
    <n v="0"/>
  </r>
  <r>
    <n v="102"/>
    <x v="101"/>
    <s v="08/09/2025"/>
    <x v="8"/>
    <x v="1"/>
    <x v="0"/>
    <n v="8.85"/>
    <n v="37.79"/>
    <n v="56.42"/>
    <n v="4.1399999999999997"/>
    <n v="0.56799999999999995"/>
    <s v="PASS"/>
    <s v="PASS"/>
    <s v="PASS"/>
    <s v="PASS"/>
    <s v="PASS"/>
    <x v="1"/>
    <n v="0"/>
    <n v="0"/>
    <n v="0"/>
    <n v="0"/>
    <n v="0"/>
  </r>
  <r>
    <n v="103"/>
    <x v="102"/>
    <s v="10/09/2025"/>
    <x v="8"/>
    <x v="1"/>
    <x v="0"/>
    <n v="12.48"/>
    <n v="23.6"/>
    <n v="54.19"/>
    <n v="4.03"/>
    <n v="0.57589999999999997"/>
    <s v="PASS"/>
    <s v="PASS"/>
    <s v="PASS"/>
    <s v="PASS"/>
    <s v="PASS"/>
    <x v="1"/>
    <n v="0"/>
    <n v="0"/>
    <n v="0"/>
    <n v="0"/>
    <n v="0"/>
  </r>
  <r>
    <n v="104"/>
    <x v="103"/>
    <s v="18/09/2025"/>
    <x v="8"/>
    <x v="1"/>
    <x v="0"/>
    <n v="23.9"/>
    <n v="36.380000000000003"/>
    <n v="57.48"/>
    <n v="4.2300000000000004"/>
    <n v="0.56440000000000001"/>
    <s v="FAIL"/>
    <s v="PASS"/>
    <s v="PASS"/>
    <s v="PASS"/>
    <s v="PASS"/>
    <x v="0"/>
    <n v="1"/>
    <n v="0"/>
    <n v="0"/>
    <n v="0"/>
    <n v="0"/>
  </r>
  <r>
    <n v="105"/>
    <x v="104"/>
    <s v="23/09/2025"/>
    <x v="8"/>
    <x v="1"/>
    <x v="1"/>
    <n v="0.55000000000000004"/>
    <n v="41.28"/>
    <n v="61.79"/>
    <n v="3.05"/>
    <n v="0.57769999999999999"/>
    <s v="PASS"/>
    <s v="PASS"/>
    <s v="PASS"/>
    <s v="PASS"/>
    <s v="PASS"/>
    <x v="1"/>
    <n v="0"/>
    <n v="0"/>
    <n v="0"/>
    <n v="0"/>
    <n v="0"/>
  </r>
  <r>
    <n v="106"/>
    <x v="105"/>
    <s v="11/10/2025"/>
    <x v="9"/>
    <x v="1"/>
    <x v="0"/>
    <n v="23.98"/>
    <n v="33.549999999999997"/>
    <n v="62.58"/>
    <n v="3.65"/>
    <n v="0.5766"/>
    <s v="FAIL"/>
    <s v="PASS"/>
    <s v="PASS"/>
    <s v="PASS"/>
    <s v="PASS"/>
    <x v="0"/>
    <n v="1"/>
    <n v="0"/>
    <n v="0"/>
    <n v="0"/>
    <n v="0"/>
  </r>
  <r>
    <n v="107"/>
    <x v="106"/>
    <s v="13/10/2025"/>
    <x v="9"/>
    <x v="1"/>
    <x v="0"/>
    <n v="16.739999999999998"/>
    <n v="27.95"/>
    <n v="64.599999999999994"/>
    <n v="4.26"/>
    <n v="0.55700000000000005"/>
    <s v="PASS"/>
    <s v="PASS"/>
    <s v="PASS"/>
    <s v="PASS"/>
    <s v="FAIL"/>
    <x v="0"/>
    <n v="0"/>
    <n v="0"/>
    <n v="0"/>
    <n v="0"/>
    <n v="1"/>
  </r>
  <r>
    <n v="108"/>
    <x v="107"/>
    <s v="15/10/2025"/>
    <x v="9"/>
    <x v="1"/>
    <x v="0"/>
    <n v="14.08"/>
    <n v="36.65"/>
    <n v="69.23"/>
    <n v="3.86"/>
    <n v="0.5706"/>
    <s v="PASS"/>
    <s v="PASS"/>
    <s v="PASS"/>
    <s v="PASS"/>
    <s v="PASS"/>
    <x v="1"/>
    <n v="0"/>
    <n v="0"/>
    <n v="0"/>
    <n v="0"/>
    <n v="0"/>
  </r>
  <r>
    <n v="109"/>
    <x v="108"/>
    <s v="28/10/2025"/>
    <x v="9"/>
    <x v="1"/>
    <x v="0"/>
    <n v="11.92"/>
    <n v="32.79"/>
    <n v="53.4"/>
    <n v="3.89"/>
    <n v="0.58130000000000004"/>
    <s v="PASS"/>
    <s v="PASS"/>
    <s v="PASS"/>
    <s v="PASS"/>
    <s v="FAIL"/>
    <x v="0"/>
    <n v="0"/>
    <n v="0"/>
    <n v="0"/>
    <n v="0"/>
    <n v="1"/>
  </r>
  <r>
    <n v="110"/>
    <x v="109"/>
    <s v="30/10/2025"/>
    <x v="9"/>
    <x v="1"/>
    <x v="1"/>
    <n v="0.59"/>
    <n v="42.81"/>
    <n v="61.67"/>
    <n v="3.15"/>
    <n v="0.57609999999999995"/>
    <s v="PASS"/>
    <s v="PASS"/>
    <s v="PASS"/>
    <s v="PASS"/>
    <s v="PASS"/>
    <x v="1"/>
    <n v="0"/>
    <n v="0"/>
    <n v="0"/>
    <n v="0"/>
    <n v="0"/>
  </r>
  <r>
    <n v="111"/>
    <x v="110"/>
    <s v="02/11/2025"/>
    <x v="10"/>
    <x v="1"/>
    <x v="0"/>
    <n v="14.41"/>
    <n v="25.23"/>
    <n v="65.06"/>
    <n v="3.7"/>
    <n v="0.5635"/>
    <s v="PASS"/>
    <s v="PASS"/>
    <s v="PASS"/>
    <s v="PASS"/>
    <s v="PASS"/>
    <x v="1"/>
    <n v="0"/>
    <n v="0"/>
    <n v="0"/>
    <n v="0"/>
    <n v="0"/>
  </r>
  <r>
    <n v="112"/>
    <x v="111"/>
    <s v="16/11/2025"/>
    <x v="10"/>
    <x v="1"/>
    <x v="0"/>
    <n v="22.3"/>
    <n v="33.67"/>
    <n v="52.21"/>
    <n v="3.57"/>
    <n v="0.56520000000000004"/>
    <s v="FAIL"/>
    <s v="PASS"/>
    <s v="PASS"/>
    <s v="PASS"/>
    <s v="PASS"/>
    <x v="0"/>
    <n v="1"/>
    <n v="0"/>
    <n v="0"/>
    <n v="0"/>
    <n v="0"/>
  </r>
  <r>
    <n v="113"/>
    <x v="112"/>
    <s v="18/11/2025"/>
    <x v="10"/>
    <x v="1"/>
    <x v="0"/>
    <n v="11.3"/>
    <n v="28.75"/>
    <n v="55.37"/>
    <n v="3.83"/>
    <n v="0.57440000000000002"/>
    <s v="PASS"/>
    <s v="PASS"/>
    <s v="PASS"/>
    <s v="PASS"/>
    <s v="PASS"/>
    <x v="1"/>
    <n v="0"/>
    <n v="0"/>
    <n v="0"/>
    <n v="0"/>
    <n v="0"/>
  </r>
  <r>
    <n v="114"/>
    <x v="113"/>
    <s v="25/11/2025"/>
    <x v="10"/>
    <x v="1"/>
    <x v="0"/>
    <n v="14.31"/>
    <n v="27.89"/>
    <n v="65.03"/>
    <n v="3.92"/>
    <n v="0.57199999999999995"/>
    <s v="PASS"/>
    <s v="PASS"/>
    <s v="PASS"/>
    <s v="PASS"/>
    <s v="PASS"/>
    <x v="1"/>
    <n v="0"/>
    <n v="0"/>
    <n v="0"/>
    <n v="0"/>
    <n v="0"/>
  </r>
  <r>
    <n v="115"/>
    <x v="114"/>
    <s v="28/11/2025"/>
    <x v="10"/>
    <x v="1"/>
    <x v="1"/>
    <n v="0.48"/>
    <n v="41.33"/>
    <n v="62.09"/>
    <n v="3.06"/>
    <n v="0.5917"/>
    <s v="PASS"/>
    <s v="PASS"/>
    <s v="PASS"/>
    <s v="PASS"/>
    <s v="FAIL"/>
    <x v="0"/>
    <n v="0"/>
    <n v="0"/>
    <n v="0"/>
    <n v="0"/>
    <n v="1"/>
  </r>
  <r>
    <n v="116"/>
    <x v="115"/>
    <s v="10/12/2025"/>
    <x v="11"/>
    <x v="1"/>
    <x v="0"/>
    <n v="15.28"/>
    <n v="29.22"/>
    <n v="56.65"/>
    <n v="4.45"/>
    <n v="0.57850000000000001"/>
    <s v="PASS"/>
    <s v="PASS"/>
    <s v="PASS"/>
    <s v="PASS"/>
    <s v="PASS"/>
    <x v="1"/>
    <n v="0"/>
    <n v="0"/>
    <n v="0"/>
    <n v="0"/>
    <n v="0"/>
  </r>
  <r>
    <n v="117"/>
    <x v="116"/>
    <s v="14/12/2025"/>
    <x v="11"/>
    <x v="1"/>
    <x v="0"/>
    <n v="11.31"/>
    <n v="26.33"/>
    <n v="65.38"/>
    <n v="3.42"/>
    <n v="0.5585"/>
    <s v="PASS"/>
    <s v="PASS"/>
    <s v="PASS"/>
    <s v="PASS"/>
    <s v="FAIL"/>
    <x v="0"/>
    <n v="0"/>
    <n v="0"/>
    <n v="0"/>
    <n v="0"/>
    <n v="1"/>
  </r>
  <r>
    <n v="118"/>
    <x v="117"/>
    <s v="19/12/2025"/>
    <x v="11"/>
    <x v="1"/>
    <x v="0"/>
    <n v="16.34"/>
    <n v="38.520000000000003"/>
    <n v="70.03"/>
    <n v="4.18"/>
    <n v="0.57799999999999996"/>
    <s v="PASS"/>
    <s v="PASS"/>
    <s v="PASS"/>
    <s v="PASS"/>
    <s v="PASS"/>
    <x v="1"/>
    <n v="0"/>
    <n v="0"/>
    <n v="0"/>
    <n v="0"/>
    <n v="0"/>
  </r>
  <r>
    <n v="119"/>
    <x v="118"/>
    <s v="21/12/2025"/>
    <x v="11"/>
    <x v="1"/>
    <x v="0"/>
    <n v="9.76"/>
    <n v="35.43"/>
    <n v="54.82"/>
    <n v="3.6"/>
    <n v="0.56399999999999995"/>
    <s v="PASS"/>
    <s v="PASS"/>
    <s v="PASS"/>
    <s v="PASS"/>
    <s v="PASS"/>
    <x v="1"/>
    <n v="0"/>
    <n v="0"/>
    <n v="0"/>
    <n v="0"/>
    <n v="0"/>
  </r>
  <r>
    <n v="120"/>
    <x v="119"/>
    <s v="31/12/2025"/>
    <x v="11"/>
    <x v="1"/>
    <x v="1"/>
    <n v="0.61"/>
    <n v="37.090000000000003"/>
    <n v="54.87"/>
    <n v="3.09"/>
    <n v="0.58819999999999995"/>
    <s v="PASS"/>
    <s v="PASS"/>
    <s v="PASS"/>
    <s v="PASS"/>
    <s v="FAIL"/>
    <x v="0"/>
    <n v="0"/>
    <n v="0"/>
    <n v="0"/>
    <n v="0"/>
    <n v="1"/>
  </r>
  <r>
    <n v="121"/>
    <x v="120"/>
    <s v="03/01/2026"/>
    <x v="0"/>
    <x v="2"/>
    <x v="0"/>
    <n v="15.97"/>
    <n v="24.16"/>
    <n v="52.91"/>
    <n v="3.97"/>
    <n v="0.58130000000000004"/>
    <s v="PASS"/>
    <s v="PASS"/>
    <s v="PASS"/>
    <s v="PASS"/>
    <s v="FAIL"/>
    <x v="0"/>
    <n v="0"/>
    <n v="0"/>
    <n v="0"/>
    <n v="0"/>
    <n v="1"/>
  </r>
  <r>
    <n v="122"/>
    <x v="121"/>
    <s v="05/01/2026"/>
    <x v="0"/>
    <x v="2"/>
    <x v="0"/>
    <n v="16.97"/>
    <n v="25.63"/>
    <n v="68.14"/>
    <n v="3.91"/>
    <n v="0.57740000000000002"/>
    <s v="PASS"/>
    <s v="PASS"/>
    <s v="PASS"/>
    <s v="PASS"/>
    <s v="PASS"/>
    <x v="1"/>
    <n v="0"/>
    <n v="0"/>
    <n v="0"/>
    <n v="0"/>
    <n v="0"/>
  </r>
  <r>
    <n v="123"/>
    <x v="122"/>
    <s v="10/01/2026"/>
    <x v="0"/>
    <x v="2"/>
    <x v="0"/>
    <n v="8.3800000000000008"/>
    <n v="38.33"/>
    <n v="53.1"/>
    <n v="4.41"/>
    <n v="0.5786"/>
    <s v="PASS"/>
    <s v="PASS"/>
    <s v="PASS"/>
    <s v="PASS"/>
    <s v="PASS"/>
    <x v="1"/>
    <n v="0"/>
    <n v="0"/>
    <n v="0"/>
    <n v="0"/>
    <n v="0"/>
  </r>
  <r>
    <n v="124"/>
    <x v="123"/>
    <s v="11/01/2026"/>
    <x v="0"/>
    <x v="2"/>
    <x v="0"/>
    <n v="18.61"/>
    <n v="35.479999999999997"/>
    <n v="58.05"/>
    <n v="4.2300000000000004"/>
    <n v="0.55830000000000002"/>
    <s v="PASS"/>
    <s v="PASS"/>
    <s v="PASS"/>
    <s v="PASS"/>
    <s v="FAIL"/>
    <x v="0"/>
    <n v="0"/>
    <n v="0"/>
    <n v="0"/>
    <n v="0"/>
    <n v="1"/>
  </r>
  <r>
    <n v="125"/>
    <x v="124"/>
    <s v="30/01/2026"/>
    <x v="0"/>
    <x v="2"/>
    <x v="1"/>
    <n v="0.6"/>
    <n v="41.38"/>
    <n v="66.94"/>
    <n v="3.14"/>
    <n v="0.59130000000000005"/>
    <s v="PASS"/>
    <s v="PASS"/>
    <s v="FAIL"/>
    <s v="PASS"/>
    <s v="FAIL"/>
    <x v="0"/>
    <n v="0"/>
    <n v="0"/>
    <n v="1"/>
    <n v="0"/>
    <n v="1"/>
  </r>
  <r>
    <n v="126"/>
    <x v="125"/>
    <s v="08/02/2026"/>
    <x v="1"/>
    <x v="2"/>
    <x v="0"/>
    <n v="7.76"/>
    <n v="35.83"/>
    <n v="70.010000000000005"/>
    <n v="3.72"/>
    <n v="0.56779999999999997"/>
    <s v="PASS"/>
    <s v="PASS"/>
    <s v="PASS"/>
    <s v="PASS"/>
    <s v="PASS"/>
    <x v="1"/>
    <n v="0"/>
    <n v="0"/>
    <n v="0"/>
    <n v="0"/>
    <n v="0"/>
  </r>
  <r>
    <n v="127"/>
    <x v="126"/>
    <s v="11/02/2026"/>
    <x v="1"/>
    <x v="2"/>
    <x v="0"/>
    <n v="10.65"/>
    <n v="29.87"/>
    <n v="52.14"/>
    <n v="4.33"/>
    <n v="0.56130000000000002"/>
    <s v="PASS"/>
    <s v="PASS"/>
    <s v="PASS"/>
    <s v="PASS"/>
    <s v="PASS"/>
    <x v="1"/>
    <n v="0"/>
    <n v="0"/>
    <n v="0"/>
    <n v="0"/>
    <n v="0"/>
  </r>
  <r>
    <n v="128"/>
    <x v="127"/>
    <s v="18/02/2026"/>
    <x v="1"/>
    <x v="2"/>
    <x v="0"/>
    <n v="15.92"/>
    <n v="38.03"/>
    <n v="59.22"/>
    <n v="4.18"/>
    <n v="0.56169999999999998"/>
    <s v="PASS"/>
    <s v="PASS"/>
    <s v="PASS"/>
    <s v="PASS"/>
    <s v="PASS"/>
    <x v="1"/>
    <n v="0"/>
    <n v="0"/>
    <n v="0"/>
    <n v="0"/>
    <n v="0"/>
  </r>
  <r>
    <n v="129"/>
    <x v="128"/>
    <s v="20/02/2026"/>
    <x v="1"/>
    <x v="2"/>
    <x v="0"/>
    <n v="12.87"/>
    <n v="28.35"/>
    <n v="70.930000000000007"/>
    <n v="3.43"/>
    <n v="0.56689999999999996"/>
    <s v="PASS"/>
    <s v="PASS"/>
    <s v="PASS"/>
    <s v="PASS"/>
    <s v="PASS"/>
    <x v="1"/>
    <n v="0"/>
    <n v="0"/>
    <n v="0"/>
    <n v="0"/>
    <n v="0"/>
  </r>
  <r>
    <n v="130"/>
    <x v="129"/>
    <s v="21/02/2026"/>
    <x v="1"/>
    <x v="2"/>
    <x v="1"/>
    <n v="0.71"/>
    <n v="36.79"/>
    <n v="60.17"/>
    <n v="3.08"/>
    <n v="0.58560000000000001"/>
    <s v="PASS"/>
    <s v="PASS"/>
    <s v="PASS"/>
    <s v="PASS"/>
    <s v="FAIL"/>
    <x v="0"/>
    <n v="0"/>
    <n v="0"/>
    <n v="0"/>
    <n v="0"/>
    <n v="1"/>
  </r>
  <r>
    <n v="131"/>
    <x v="130"/>
    <s v="04/03/2026"/>
    <x v="2"/>
    <x v="2"/>
    <x v="0"/>
    <n v="12.46"/>
    <n v="32.93"/>
    <n v="64.12"/>
    <n v="4.03"/>
    <n v="0.5585"/>
    <s v="PASS"/>
    <s v="PASS"/>
    <s v="PASS"/>
    <s v="PASS"/>
    <s v="FAIL"/>
    <x v="0"/>
    <n v="0"/>
    <n v="0"/>
    <n v="0"/>
    <n v="0"/>
    <n v="1"/>
  </r>
  <r>
    <n v="132"/>
    <x v="131"/>
    <s v="07/03/2026"/>
    <x v="2"/>
    <x v="2"/>
    <x v="0"/>
    <n v="8.51"/>
    <n v="31.16"/>
    <n v="51.51"/>
    <n v="4.2"/>
    <n v="0.56299999999999994"/>
    <s v="PASS"/>
    <s v="PASS"/>
    <s v="PASS"/>
    <s v="PASS"/>
    <s v="PASS"/>
    <x v="1"/>
    <n v="0"/>
    <n v="0"/>
    <n v="0"/>
    <n v="0"/>
    <n v="0"/>
  </r>
  <r>
    <n v="133"/>
    <x v="132"/>
    <s v="27/03/2026"/>
    <x v="2"/>
    <x v="2"/>
    <x v="0"/>
    <n v="10.94"/>
    <n v="23.66"/>
    <n v="69.81"/>
    <n v="3.4"/>
    <n v="0.5786"/>
    <s v="PASS"/>
    <s v="PASS"/>
    <s v="PASS"/>
    <s v="PASS"/>
    <s v="PASS"/>
    <x v="1"/>
    <n v="0"/>
    <n v="0"/>
    <n v="0"/>
    <n v="0"/>
    <n v="0"/>
  </r>
  <r>
    <n v="134"/>
    <x v="133"/>
    <s v="28/03/2026"/>
    <x v="2"/>
    <x v="2"/>
    <x v="0"/>
    <n v="10.01"/>
    <n v="24.14"/>
    <n v="64.540000000000006"/>
    <n v="3.43"/>
    <n v="0.55840000000000001"/>
    <s v="PASS"/>
    <s v="PASS"/>
    <s v="PASS"/>
    <s v="PASS"/>
    <s v="FAIL"/>
    <x v="0"/>
    <n v="0"/>
    <n v="0"/>
    <n v="0"/>
    <n v="0"/>
    <n v="1"/>
  </r>
  <r>
    <n v="135"/>
    <x v="134"/>
    <s v="31/03/2026"/>
    <x v="2"/>
    <x v="2"/>
    <x v="1"/>
    <n v="0.39"/>
    <n v="37.39"/>
    <n v="54.47"/>
    <n v="3.12"/>
    <n v="0.57840000000000003"/>
    <s v="PASS"/>
    <s v="PASS"/>
    <s v="PASS"/>
    <s v="PASS"/>
    <s v="PASS"/>
    <x v="1"/>
    <n v="0"/>
    <n v="0"/>
    <n v="0"/>
    <n v="0"/>
    <n v="0"/>
  </r>
  <r>
    <n v="136"/>
    <x v="135"/>
    <s v="04/04/2026"/>
    <x v="3"/>
    <x v="2"/>
    <x v="0"/>
    <n v="12.42"/>
    <n v="24.99"/>
    <n v="63.53"/>
    <n v="4.16"/>
    <n v="0.57979999999999998"/>
    <s v="PASS"/>
    <s v="PASS"/>
    <s v="PASS"/>
    <s v="PASS"/>
    <s v="PASS"/>
    <x v="1"/>
    <n v="0"/>
    <n v="0"/>
    <n v="0"/>
    <n v="0"/>
    <n v="0"/>
  </r>
  <r>
    <n v="137"/>
    <x v="136"/>
    <s v="12/04/2026"/>
    <x v="3"/>
    <x v="2"/>
    <x v="0"/>
    <n v="14.72"/>
    <n v="21.56"/>
    <n v="71.97"/>
    <n v="4.29"/>
    <n v="0.56820000000000004"/>
    <s v="PASS"/>
    <s v="PASS"/>
    <s v="PASS"/>
    <s v="PASS"/>
    <s v="PASS"/>
    <x v="1"/>
    <n v="0"/>
    <n v="0"/>
    <n v="0"/>
    <n v="0"/>
    <n v="0"/>
  </r>
  <r>
    <n v="138"/>
    <x v="137"/>
    <s v="17/04/2026"/>
    <x v="3"/>
    <x v="2"/>
    <x v="0"/>
    <n v="12.32"/>
    <n v="37.19"/>
    <n v="57.09"/>
    <n v="3.56"/>
    <n v="0.56100000000000005"/>
    <s v="PASS"/>
    <s v="PASS"/>
    <s v="PASS"/>
    <s v="PASS"/>
    <s v="PASS"/>
    <x v="1"/>
    <n v="0"/>
    <n v="0"/>
    <n v="0"/>
    <n v="0"/>
    <n v="0"/>
  </r>
  <r>
    <n v="139"/>
    <x v="138"/>
    <s v="19/04/2026"/>
    <x v="3"/>
    <x v="2"/>
    <x v="0"/>
    <n v="15.55"/>
    <n v="27.86"/>
    <n v="63.14"/>
    <n v="3.71"/>
    <n v="0.57010000000000005"/>
    <s v="PASS"/>
    <s v="PASS"/>
    <s v="PASS"/>
    <s v="PASS"/>
    <s v="PASS"/>
    <x v="1"/>
    <n v="0"/>
    <n v="0"/>
    <n v="0"/>
    <n v="0"/>
    <n v="0"/>
  </r>
  <r>
    <n v="140"/>
    <x v="139"/>
    <s v="25/04/2026"/>
    <x v="3"/>
    <x v="2"/>
    <x v="1"/>
    <n v="0.27"/>
    <n v="41.24"/>
    <n v="61.9"/>
    <n v="3.08"/>
    <n v="0.58379999999999999"/>
    <s v="PASS"/>
    <s v="PASS"/>
    <s v="PASS"/>
    <s v="PASS"/>
    <s v="PASS"/>
    <x v="1"/>
    <n v="0"/>
    <n v="0"/>
    <n v="0"/>
    <n v="0"/>
    <n v="0"/>
  </r>
  <r>
    <n v="141"/>
    <x v="140"/>
    <s v="11/05/2026"/>
    <x v="4"/>
    <x v="2"/>
    <x v="0"/>
    <n v="11.99"/>
    <n v="22.71"/>
    <n v="59.39"/>
    <n v="4.0999999999999996"/>
    <n v="0.56699999999999995"/>
    <s v="PASS"/>
    <s v="PASS"/>
    <s v="PASS"/>
    <s v="PASS"/>
    <s v="PASS"/>
    <x v="1"/>
    <n v="0"/>
    <n v="0"/>
    <n v="0"/>
    <n v="0"/>
    <n v="0"/>
  </r>
  <r>
    <n v="142"/>
    <x v="141"/>
    <s v="13/05/2026"/>
    <x v="4"/>
    <x v="2"/>
    <x v="0"/>
    <n v="7.81"/>
    <n v="35.97"/>
    <n v="52.05"/>
    <n v="3.5"/>
    <n v="0.57569999999999999"/>
    <s v="PASS"/>
    <s v="PASS"/>
    <s v="PASS"/>
    <s v="PASS"/>
    <s v="PASS"/>
    <x v="1"/>
    <n v="0"/>
    <n v="0"/>
    <n v="0"/>
    <n v="0"/>
    <n v="0"/>
  </r>
  <r>
    <n v="143"/>
    <x v="142"/>
    <s v="14/05/2026"/>
    <x v="4"/>
    <x v="2"/>
    <x v="0"/>
    <n v="14.04"/>
    <n v="31.11"/>
    <n v="57.25"/>
    <n v="3.53"/>
    <n v="0.5665"/>
    <s v="PASS"/>
    <s v="PASS"/>
    <s v="PASS"/>
    <s v="PASS"/>
    <s v="PASS"/>
    <x v="1"/>
    <n v="0"/>
    <n v="0"/>
    <n v="0"/>
    <n v="0"/>
    <n v="0"/>
  </r>
  <r>
    <n v="144"/>
    <x v="143"/>
    <s v="15/05/2026"/>
    <x v="4"/>
    <x v="2"/>
    <x v="0"/>
    <n v="17.420000000000002"/>
    <n v="33.979999999999997"/>
    <n v="71.3"/>
    <n v="4.03"/>
    <n v="0.56640000000000001"/>
    <s v="PASS"/>
    <s v="PASS"/>
    <s v="PASS"/>
    <s v="PASS"/>
    <s v="PASS"/>
    <x v="1"/>
    <n v="0"/>
    <n v="0"/>
    <n v="0"/>
    <n v="0"/>
    <n v="0"/>
  </r>
  <r>
    <n v="145"/>
    <x v="144"/>
    <s v="27/05/2026"/>
    <x v="4"/>
    <x v="2"/>
    <x v="1"/>
    <n v="0.59"/>
    <n v="37.79"/>
    <n v="54.97"/>
    <n v="3.14"/>
    <n v="0.57589999999999997"/>
    <s v="PASS"/>
    <s v="PASS"/>
    <s v="PASS"/>
    <s v="PASS"/>
    <s v="PASS"/>
    <x v="1"/>
    <n v="0"/>
    <n v="0"/>
    <n v="0"/>
    <n v="0"/>
    <n v="0"/>
  </r>
  <r>
    <n v="146"/>
    <x v="145"/>
    <s v="14/06/2026"/>
    <x v="5"/>
    <x v="2"/>
    <x v="0"/>
    <n v="16.82"/>
    <n v="32.04"/>
    <n v="64.14"/>
    <n v="3.43"/>
    <n v="0.58030000000000004"/>
    <s v="PASS"/>
    <s v="PASS"/>
    <s v="PASS"/>
    <s v="PASS"/>
    <s v="FAIL"/>
    <x v="0"/>
    <n v="0"/>
    <n v="0"/>
    <n v="0"/>
    <n v="0"/>
    <n v="1"/>
  </r>
  <r>
    <n v="147"/>
    <x v="146"/>
    <s v="18/06/2026"/>
    <x v="5"/>
    <x v="2"/>
    <x v="0"/>
    <n v="9.16"/>
    <n v="33.65"/>
    <n v="56.8"/>
    <n v="3.76"/>
    <n v="0.55810000000000004"/>
    <s v="PASS"/>
    <s v="PASS"/>
    <s v="PASS"/>
    <s v="PASS"/>
    <s v="FAIL"/>
    <x v="0"/>
    <n v="0"/>
    <n v="0"/>
    <n v="0"/>
    <n v="0"/>
    <n v="1"/>
  </r>
  <r>
    <n v="148"/>
    <x v="147"/>
    <s v="25/06/2026"/>
    <x v="5"/>
    <x v="2"/>
    <x v="0"/>
    <n v="11.81"/>
    <n v="23.55"/>
    <n v="63.93"/>
    <n v="3.43"/>
    <n v="0.57589999999999997"/>
    <s v="PASS"/>
    <s v="PASS"/>
    <s v="PASS"/>
    <s v="PASS"/>
    <s v="PASS"/>
    <x v="1"/>
    <n v="0"/>
    <n v="0"/>
    <n v="0"/>
    <n v="0"/>
    <n v="0"/>
  </r>
  <r>
    <n v="149"/>
    <x v="148"/>
    <s v="26/06/2026"/>
    <x v="5"/>
    <x v="2"/>
    <x v="0"/>
    <n v="11.09"/>
    <n v="27.66"/>
    <n v="65.88"/>
    <n v="4.22"/>
    <n v="0.5716"/>
    <s v="PASS"/>
    <s v="PASS"/>
    <s v="PASS"/>
    <s v="PASS"/>
    <s v="PASS"/>
    <x v="1"/>
    <n v="0"/>
    <n v="0"/>
    <n v="0"/>
    <n v="0"/>
    <n v="0"/>
  </r>
  <r>
    <n v="150"/>
    <x v="149"/>
    <s v="28/06/2026"/>
    <x v="5"/>
    <x v="2"/>
    <x v="1"/>
    <n v="0.28999999999999998"/>
    <n v="40.94"/>
    <n v="60.07"/>
    <n v="3.01"/>
    <n v="0.5806"/>
    <s v="PASS"/>
    <s v="PASS"/>
    <s v="PASS"/>
    <s v="PASS"/>
    <s v="PASS"/>
    <x v="1"/>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1E88F4-DDE3-4C15-A0DA-E7F1DED0014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K2:M6" firstHeaderRow="1" firstDataRow="2" firstDataCol="1"/>
  <pivotFields count="22">
    <pivotField showAll="0"/>
    <pivotField dataField="1"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items count="14">
        <item x="0"/>
        <item x="1"/>
        <item x="2"/>
        <item x="3"/>
        <item x="4"/>
        <item x="5"/>
        <item x="6"/>
        <item x="7"/>
        <item x="8"/>
        <item x="9"/>
        <item x="10"/>
        <item x="11"/>
        <item h="1" x="12"/>
        <item t="default"/>
      </items>
    </pivotField>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0"/>
        <item h="1" x="1"/>
        <item h="1" x="2"/>
        <item t="default"/>
      </items>
    </pivotField>
    <pivotField showAll="0"/>
    <pivotField showAll="0"/>
    <pivotField showAll="0"/>
    <pivotField showAll="0"/>
    <pivotField showAll="0"/>
  </pivotFields>
  <rowFields count="1">
    <field x="5"/>
  </rowFields>
  <rowItems count="3">
    <i>
      <x/>
    </i>
    <i>
      <x v="1"/>
    </i>
    <i t="grand">
      <x/>
    </i>
  </rowItems>
  <colFields count="1">
    <field x="16"/>
  </colFields>
  <colItems count="2">
    <i>
      <x/>
    </i>
    <i t="grand">
      <x/>
    </i>
  </colItems>
  <dataFields count="1">
    <dataField name="Count of Sample ID" fld="1" subtotal="count" baseField="0" baseItem="0"/>
  </dataFields>
  <chartFormats count="4">
    <chartFormat chart="15" format="2" series="1">
      <pivotArea type="data" outline="0" fieldPosition="0">
        <references count="2">
          <reference field="4294967294" count="1" selected="0">
            <x v="0"/>
          </reference>
          <reference field="16" count="1" selected="0">
            <x v="0"/>
          </reference>
        </references>
      </pivotArea>
    </chartFormat>
    <chartFormat chart="17" format="4" series="1">
      <pivotArea type="data" outline="0" fieldPosition="0">
        <references count="2">
          <reference field="4294967294" count="1" selected="0">
            <x v="0"/>
          </reference>
          <reference field="16" count="1" selected="0">
            <x v="0"/>
          </reference>
        </references>
      </pivotArea>
    </chartFormat>
    <chartFormat chart="17" format="5"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E62F226-3613-4F88-97FA-AFC3C4299BB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2:G36" firstHeaderRow="1" firstDataRow="1" firstDataCol="1"/>
  <pivotFields count="22">
    <pivotField showAll="0"/>
    <pivotField showAll="0"/>
    <pivotField showAll="0"/>
    <pivotField axis="axisRow" showAll="0">
      <items count="13">
        <item x="0"/>
        <item x="1"/>
        <item x="2"/>
        <item x="3"/>
        <item x="4"/>
        <item x="5"/>
        <item x="6"/>
        <item x="7"/>
        <item x="8"/>
        <item x="9"/>
        <item x="10"/>
        <item x="11"/>
        <item t="default"/>
      </items>
    </pivotField>
    <pivotField axis="axisRow" showAll="0">
      <items count="4">
        <item x="0"/>
        <item x="1"/>
        <item x="2"/>
        <item t="default"/>
      </items>
    </pivotField>
    <pivotField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4"/>
    <field x="3"/>
  </rowFields>
  <rowItems count="34">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t="grand">
      <x/>
    </i>
  </rowItems>
  <colItems count="1">
    <i/>
  </colItems>
  <dataFields count="1">
    <dataField name="Average of Propane (%)" fld="6" subtotal="average" baseField="4" baseItem="0"/>
  </dataFields>
  <chartFormats count="2">
    <chartFormat chart="9"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36FAF9-FC5B-4363-A6EE-7DBB8412EA0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5:J19" firstHeaderRow="1" firstDataRow="2" firstDataCol="1"/>
  <pivotFields count="22">
    <pivotField showAll="0"/>
    <pivotField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axis="axisRow" showAll="0">
      <items count="14">
        <item x="0"/>
        <item x="1"/>
        <item x="2"/>
        <item x="3"/>
        <item x="4"/>
        <item x="5"/>
        <item x="6"/>
        <item x="7"/>
        <item x="8"/>
        <item x="9"/>
        <item x="10"/>
        <item x="11"/>
        <item h="1" x="12"/>
        <item t="default"/>
      </items>
    </pivotField>
    <pivotField showAll="0"/>
    <pivotField dataField="1"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axis="axisCol" showAll="0">
      <items count="4">
        <item x="0"/>
        <item h="1" x="1"/>
        <item h="1" x="2"/>
        <item t="default"/>
      </items>
    </pivotField>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Fields count="1">
    <field x="16"/>
  </colFields>
  <colItems count="2">
    <i>
      <x/>
    </i>
    <i t="grand">
      <x/>
    </i>
  </colItems>
  <dataFields count="1">
    <dataField name="Count of Product Code" fld="5" subtotal="count" baseField="0" baseItem="0"/>
  </dataFields>
  <chartFormats count="4">
    <chartFormat chart="11" format="2" series="1">
      <pivotArea type="data" outline="0" fieldPosition="0">
        <references count="2">
          <reference field="4294967294" count="1" selected="0">
            <x v="0"/>
          </reference>
          <reference field="16" count="1" selected="0">
            <x v="0"/>
          </reference>
        </references>
      </pivotArea>
    </chartFormat>
    <chartFormat chart="13" format="4" series="1">
      <pivotArea type="data" outline="0" fieldPosition="0">
        <references count="2">
          <reference field="4294967294" count="1" selected="0">
            <x v="0"/>
          </reference>
          <reference field="16" count="1" selected="0">
            <x v="0"/>
          </reference>
        </references>
      </pivotArea>
    </chartFormat>
    <chartFormat chart="13" format="5"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5B3ED2-9027-4D4F-BEE1-CE3C32FC7B4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0:E21" firstHeaderRow="0" firstDataRow="1" firstDataCol="0"/>
  <pivotFields count="22">
    <pivotField showAll="0"/>
    <pivotField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items count="14">
        <item x="0"/>
        <item x="1"/>
        <item x="2"/>
        <item x="3"/>
        <item x="4"/>
        <item x="5"/>
        <item x="6"/>
        <item x="7"/>
        <item x="8"/>
        <item x="9"/>
        <item x="10"/>
        <item x="11"/>
        <item h="1" x="12"/>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name="Sum of PROPANE FAIL" fld="17" baseField="0" baseItem="0"/>
    <dataField name="Sum of ISOBUTANE FAIL" fld="18" baseField="0" baseItem="0"/>
    <dataField name="Sum of n BUTANE FAIL" fld="19" baseField="0" baseItem="0"/>
    <dataField name="Sum of VAPOUR PRESSURE FAIL" fld="20" baseField="0" baseItem="0"/>
    <dataField name="Sum of DENSITY FAIL" fld="21" baseField="0" baseItem="0"/>
  </dataFields>
  <chartFormats count="10">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2"/>
          </reference>
        </references>
      </pivotArea>
    </chartFormat>
    <chartFormat chart="4" format="13" series="1">
      <pivotArea type="data" outline="0" fieldPosition="0">
        <references count="1">
          <reference field="4294967294" count="1" selected="0">
            <x v="3"/>
          </reference>
        </references>
      </pivotArea>
    </chartFormat>
    <chartFormat chart="4" format="14" series="1">
      <pivotArea type="data" outline="0" fieldPosition="0">
        <references count="1">
          <reference field="4294967294" count="1" selected="0">
            <x v="4"/>
          </reference>
        </references>
      </pivotArea>
    </chartFormat>
    <chartFormat chart="8" format="20" series="1">
      <pivotArea type="data" outline="0" fieldPosition="0">
        <references count="1">
          <reference field="4294967294" count="1" selected="0">
            <x v="0"/>
          </reference>
        </references>
      </pivotArea>
    </chartFormat>
    <chartFormat chart="8" format="21" series="1">
      <pivotArea type="data" outline="0" fieldPosition="0">
        <references count="1">
          <reference field="4294967294" count="1" selected="0">
            <x v="1"/>
          </reference>
        </references>
      </pivotArea>
    </chartFormat>
    <chartFormat chart="8" format="22" series="1">
      <pivotArea type="data" outline="0" fieldPosition="0">
        <references count="1">
          <reference field="4294967294" count="1" selected="0">
            <x v="2"/>
          </reference>
        </references>
      </pivotArea>
    </chartFormat>
    <chartFormat chart="8" format="23" series="1">
      <pivotArea type="data" outline="0" fieldPosition="0">
        <references count="1">
          <reference field="4294967294" count="1" selected="0">
            <x v="3"/>
          </reference>
        </references>
      </pivotArea>
    </chartFormat>
    <chartFormat chart="8" format="2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BB6091-3545-49D3-840B-8941F04CF88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K13:M18" firstHeaderRow="1" firstDataRow="2" firstDataCol="1"/>
  <pivotFields count="22">
    <pivotField showAll="0"/>
    <pivotField dataField="1" showAll="0"/>
    <pivotField showAll="0"/>
    <pivotField showAll="0">
      <items count="13">
        <item x="0"/>
        <item x="1"/>
        <item x="2"/>
        <item x="3"/>
        <item x="4"/>
        <item x="5"/>
        <item x="6"/>
        <item x="7"/>
        <item x="8"/>
        <item x="9"/>
        <item x="10"/>
        <item x="11"/>
        <item t="default"/>
      </items>
    </pivotField>
    <pivotField axis="axisRow" showAll="0">
      <items count="4">
        <item x="0"/>
        <item x="1"/>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h="1" x="0"/>
        <item x="1"/>
        <item t="default"/>
      </items>
    </pivotField>
    <pivotField showAll="0"/>
    <pivotField showAll="0"/>
    <pivotField showAll="0"/>
    <pivotField showAll="0"/>
    <pivotField showAll="0"/>
  </pivotFields>
  <rowFields count="1">
    <field x="4"/>
  </rowFields>
  <rowItems count="4">
    <i>
      <x/>
    </i>
    <i>
      <x v="1"/>
    </i>
    <i>
      <x v="2"/>
    </i>
    <i t="grand">
      <x/>
    </i>
  </rowItems>
  <colFields count="1">
    <field x="16"/>
  </colFields>
  <colItems count="2">
    <i>
      <x v="1"/>
    </i>
    <i t="grand">
      <x/>
    </i>
  </colItems>
  <dataFields count="1">
    <dataField name="Count of Sample ID" fld="1" subtotal="count" baseField="0" baseItem="0"/>
  </dataFields>
  <chartFormats count="3">
    <chartFormat chart="9" format="2" series="1">
      <pivotArea type="data" outline="0" fieldPosition="0">
        <references count="2">
          <reference field="4294967294" count="1" selected="0">
            <x v="0"/>
          </reference>
          <reference field="16" count="1" selected="0">
            <x v="1"/>
          </reference>
        </references>
      </pivotArea>
    </chartFormat>
    <chartFormat chart="10" format="3" series="1">
      <pivotArea type="data" outline="0" fieldPosition="0">
        <references count="2">
          <reference field="4294967294" count="1" selected="0">
            <x v="0"/>
          </reference>
          <reference field="16" count="1" selected="0">
            <x v="1"/>
          </reference>
        </references>
      </pivotArea>
    </chartFormat>
    <chartFormat chart="11" format="4"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8AD1700-6861-41F9-A99D-06EC9A22CC73}"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3:E35" firstHeaderRow="1" firstDataRow="2" firstDataCol="1"/>
  <pivotFields count="22">
    <pivotField dataField="1" showAll="0"/>
    <pivotField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showAll="0">
      <items count="4">
        <item x="0"/>
        <item x="1"/>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Col" showAll="0" countASubtotal="1">
      <items count="3">
        <item x="0"/>
        <item x="1"/>
        <item t="countA"/>
      </items>
    </pivotField>
    <pivotField showAll="0"/>
    <pivotField showAll="0"/>
    <pivotField showAll="0"/>
    <pivotField showAll="0"/>
    <pivotField showAll="0"/>
  </pivotFields>
  <rowItems count="1">
    <i/>
  </rowItems>
  <colFields count="1">
    <field x="16"/>
  </colFields>
  <colItems count="3">
    <i>
      <x/>
    </i>
    <i>
      <x v="1"/>
    </i>
    <i t="grand">
      <x/>
    </i>
  </colItems>
  <dataFields count="1">
    <dataField name="Count of S/N" fld="0" subtotal="count" showDataAs="percentOfTotal" baseField="1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B800C0-E163-4287-8489-3DA00E9888CE}"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D27" firstHeaderRow="1" firstDataRow="2" firstDataCol="1"/>
  <pivotFields count="22">
    <pivotField showAll="0"/>
    <pivotField dataField="1" showAll="0"/>
    <pivotField showAll="0"/>
    <pivotField showAll="0"/>
    <pivotField showAll="0">
      <items count="4">
        <item x="0"/>
        <item x="1"/>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0"/>
        <item h="1" x="1"/>
        <item t="default"/>
      </items>
    </pivotField>
    <pivotField showAll="0"/>
    <pivotField showAll="0"/>
    <pivotField showAll="0"/>
    <pivotField showAll="0"/>
    <pivotField showAll="0"/>
  </pivotFields>
  <rowItems count="1">
    <i/>
  </rowItems>
  <colFields count="1">
    <field x="16"/>
  </colFields>
  <colItems count="2">
    <i>
      <x/>
    </i>
    <i t="grand">
      <x/>
    </i>
  </colItems>
  <dataFields count="1">
    <dataField name="Count of Sampl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84FDA9-3CA7-44E9-A6D0-955283278B7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D17" firstHeaderRow="1" firstDataRow="2" firstDataCol="1"/>
  <pivotFields count="22">
    <pivotField showAll="0"/>
    <pivotField dataField="1" showAll="0"/>
    <pivotField showAll="0"/>
    <pivotField axis="axisRow" showAll="0">
      <items count="13">
        <item x="0"/>
        <item x="1"/>
        <item x="2"/>
        <item x="3"/>
        <item x="4"/>
        <item x="5"/>
        <item x="6"/>
        <item x="7"/>
        <item x="8"/>
        <item x="9"/>
        <item x="10"/>
        <item x="11"/>
        <item t="default"/>
      </items>
    </pivotField>
    <pivotField showAll="0">
      <items count="4">
        <item x="0"/>
        <item x="1"/>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showAll="0"/>
    <pivotField showAll="0"/>
    <pivotField showAll="0"/>
    <pivotField showAll="0"/>
    <pivotField showAll="0"/>
  </pivotFields>
  <rowFields count="1">
    <field x="3"/>
  </rowFields>
  <rowItems count="13">
    <i>
      <x/>
    </i>
    <i>
      <x v="1"/>
    </i>
    <i>
      <x v="2"/>
    </i>
    <i>
      <x v="3"/>
    </i>
    <i>
      <x v="4"/>
    </i>
    <i>
      <x v="5"/>
    </i>
    <i>
      <x v="6"/>
    </i>
    <i>
      <x v="7"/>
    </i>
    <i>
      <x v="8"/>
    </i>
    <i>
      <x v="9"/>
    </i>
    <i>
      <x v="10"/>
    </i>
    <i>
      <x v="11"/>
    </i>
    <i t="grand">
      <x/>
    </i>
  </rowItems>
  <colFields count="1">
    <field x="16"/>
  </colFields>
  <colItems count="3">
    <i>
      <x/>
    </i>
    <i>
      <x v="1"/>
    </i>
    <i t="grand">
      <x/>
    </i>
  </colItems>
  <dataFields count="1">
    <dataField name="Count of Sample ID" fld="1" subtotal="count" baseField="0" baseItem="0"/>
  </dataFields>
  <chartFormats count="4">
    <chartFormat chart="10" format="10" series="1">
      <pivotArea type="data" outline="0" fieldPosition="0">
        <references count="2">
          <reference field="4294967294" count="1" selected="0">
            <x v="0"/>
          </reference>
          <reference field="16" count="1" selected="0">
            <x v="0"/>
          </reference>
        </references>
      </pivotArea>
    </chartFormat>
    <chartFormat chart="10" format="11" series="1">
      <pivotArea type="data" outline="0" fieldPosition="0">
        <references count="2">
          <reference field="4294967294" count="1" selected="0">
            <x v="0"/>
          </reference>
          <reference field="16" count="1" selected="0">
            <x v="1"/>
          </reference>
        </references>
      </pivotArea>
    </chartFormat>
    <chartFormat chart="11" format="10" series="1">
      <pivotArea type="data" outline="0" fieldPosition="0">
        <references count="2">
          <reference field="4294967294" count="1" selected="0">
            <x v="0"/>
          </reference>
          <reference field="16" count="1" selected="0">
            <x v="0"/>
          </reference>
        </references>
      </pivotArea>
    </chartFormat>
    <chartFormat chart="11" format="11"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B54283-3AB6-4B18-8450-E8B111767696}"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22">
    <pivotField showAll="0"/>
    <pivotField dataField="1" showAll="0">
      <items count="1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t="default"/>
      </items>
    </pivotField>
    <pivotField showAll="0"/>
    <pivotField showAll="0"/>
    <pivotField showAll="0">
      <items count="4">
        <item x="0"/>
        <item x="1"/>
        <item x="2"/>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Sampl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894B5FD-869D-43A1-84A1-BE61838C844A}" sourceName="Year">
  <pivotTables>
    <pivotTable tabId="8" name="PivotTable3"/>
    <pivotTable tabId="8" name="PivotTable1"/>
    <pivotTable tabId="8" name="PivotTable10"/>
    <pivotTable tabId="8" name="PivotTable11"/>
    <pivotTable tabId="8" name="PivotTable4"/>
    <pivotTable tabId="8" name="PivotTable7"/>
  </pivotTables>
  <data>
    <tabular pivotCacheId="11114359">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de" xr10:uid="{E6D9BD8F-467A-4F5A-B781-2D884A7DA577}" sourceName="Product Code">
  <pivotTables>
    <pivotTable tabId="8" name="PivotTable3"/>
    <pivotTable tabId="8" name="PivotTable1"/>
    <pivotTable tabId="8" name="PivotTable10"/>
    <pivotTable tabId="8" name="PivotTable11"/>
    <pivotTable tabId="8" name="PivotTable4"/>
    <pivotTable tabId="8" name="PivotTable7"/>
  </pivotTables>
  <data>
    <tabular pivotCacheId="11114359">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7B37C19-D288-4E3D-A4D3-579816CC8C64}" sourceName="Month">
  <pivotTables>
    <pivotTable tabId="8" name="PivotTable9"/>
    <pivotTable tabId="8" name="PivotTable6"/>
    <pivotTable tabId="8" name="PivotTable8"/>
  </pivotTables>
  <data>
    <tabular pivotCacheId="1700290349">
      <items count="13">
        <i x="0" s="1"/>
        <i x="1" s="1"/>
        <i x="2" s="1"/>
        <i x="3" s="1"/>
        <i x="4" s="1"/>
        <i x="5" s="1"/>
        <i x="6" s="1"/>
        <i x="7" s="1"/>
        <i x="8" s="1"/>
        <i x="9" s="1"/>
        <i x="10" s="1"/>
        <i x="11" s="1"/>
        <i x="1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F36397F-6583-42E5-B4AC-B0A1BAD84ABA}" cache="Slicer_Year" caption="Year" showCaption="0" style="SlicerStyleDark2" rowHeight="241300"/>
  <slicer name="Product Code" xr10:uid="{69AC8D60-597E-4F1A-85FD-911D1ED93864}" cache="Slicer_Product_Code" caption="Product Code" showCaption="0" style="SlicerStyleDark2" rowHeight="241300"/>
  <slicer name="Month" xr10:uid="{2729BE2E-1CBD-453B-B8C3-DD6A6D45CA58}" cache="Slicer_Month" caption="Month" columnCount="2" showCaption="0" style="SlicerStyleDark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927F6D-EC94-488E-8D6E-17CF299D40E7}" name="Table1" displayName="Table1" ref="A1:V151" totalsRowShown="0" headerRowDxfId="26" dataDxfId="25" headerRowBorderDxfId="23" tableBorderDxfId="24" totalsRowBorderDxfId="22">
  <autoFilter ref="A1:V151" xr:uid="{10927F6D-EC94-488E-8D6E-17CF299D40E7}">
    <filterColumn colId="5">
      <filters>
        <filter val="LPG"/>
      </filters>
    </filterColumn>
  </autoFilter>
  <tableColumns count="22">
    <tableColumn id="1" xr3:uid="{D7EFA1B7-AFA3-4815-88FF-4E8C9F7271B8}" name="S/N" dataDxfId="21"/>
    <tableColumn id="2" xr3:uid="{B31EF2FA-A39D-4450-984A-918EF92A702D}" name="Sample ID" dataDxfId="20"/>
    <tableColumn id="3" xr3:uid="{1F8214F2-0548-49A7-8FA5-7B99139ABC09}" name="Date Sampled" dataDxfId="19"/>
    <tableColumn id="4" xr3:uid="{A9ACED24-0A50-40BA-90A0-81C3DCC00CFD}" name="Month" dataDxfId="18"/>
    <tableColumn id="5" xr3:uid="{F45B576E-CE66-4C48-956E-1C255FBB5AF2}" name="Year" dataDxfId="17"/>
    <tableColumn id="6" xr3:uid="{528A9ECD-6F14-44B3-AC14-CB804E272E3D}" name="Product Code" dataDxfId="16"/>
    <tableColumn id="7" xr3:uid="{957A8B52-386D-441F-9D82-3ADAEF9DA8CA}" name="Propane (%)" dataDxfId="15"/>
    <tableColumn id="8" xr3:uid="{30FA78B2-AB06-45E7-8B42-E4C8AE9BD752}" name="Isobutane (%)" dataDxfId="14"/>
    <tableColumn id="9" xr3:uid="{301BEEC3-B714-42BA-8031-19EA5A7D1940}" name="n-Butane (%)" dataDxfId="13"/>
    <tableColumn id="10" xr3:uid="{05E13B89-5084-478C-BBFC-3BAD3BAB5B29}" name="Vapour Pressure @ 37.8°C (bar)" dataDxfId="12"/>
    <tableColumn id="11" xr3:uid="{6A950869-BD9E-445B-A19F-5774609C7630}" name="Density @ 15°C" dataDxfId="11"/>
    <tableColumn id="12" xr3:uid="{E0C26D59-99EA-4706-8397-60FCA6E50191}" name="Propane P/F" dataDxfId="10"/>
    <tableColumn id="13" xr3:uid="{B30083E7-4239-49CB-B35F-8F35588E278C}" name="Isobutane P/F" dataDxfId="9"/>
    <tableColumn id="14" xr3:uid="{E1A24F2D-ED1E-4D45-AFAF-FD0F17710F95}" name="n-Butane P/F" dataDxfId="8"/>
    <tableColumn id="15" xr3:uid="{345D6323-875A-46AC-9814-4E1F104D80C3}" name="VP P/F" dataDxfId="7"/>
    <tableColumn id="16" xr3:uid="{03F31304-E4D0-41BA-A2A9-E50BEEC12653}" name="Density P/F" dataDxfId="6"/>
    <tableColumn id="17" xr3:uid="{8709CCEC-661C-475F-861F-08459214AEFB}" name="Overall Result" dataDxfId="5"/>
    <tableColumn id="18" xr3:uid="{C126FF5C-1FF0-4DD3-86FE-B34033EE35B4}" name="PROPANE FAIL" dataDxfId="4">
      <calculatedColumnFormula>--(Table1[[#This Row],[Propane P/F]]="FAIL")</calculatedColumnFormula>
    </tableColumn>
    <tableColumn id="19" xr3:uid="{17F26766-636A-439E-BD06-31883AC3C867}" name="ISOBUTANE FAIL" dataDxfId="3">
      <calculatedColumnFormula>--(Table1[[#This Row],[Isobutane P/F]]="FAIL")</calculatedColumnFormula>
    </tableColumn>
    <tableColumn id="20" xr3:uid="{A0663542-6346-4BD8-AA0F-F34F9A993F6B}" name="n BUTANE FAIL" dataDxfId="2">
      <calculatedColumnFormula>--(Table1[[#This Row],[n-Butane P/F]]="FAIL")</calculatedColumnFormula>
    </tableColumn>
    <tableColumn id="21" xr3:uid="{C244643B-BF77-4908-BC65-4E8CBE2F5B62}" name="VAPOUR PRESSURE FAIL" dataDxfId="1">
      <calculatedColumnFormula>--(Table1[[#This Row],[VP P/F]]="FAIL")</calculatedColumnFormula>
    </tableColumn>
    <tableColumn id="22" xr3:uid="{1608ED90-906A-43D3-A331-3058E776A1A6}" name="DENSITY FAIL" dataDxfId="0">
      <calculatedColumnFormula>--(Table1[[#This Row],[Density P/F]]="FAIL")</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323232"/>
      </a:dk2>
      <a:lt2>
        <a:srgbClr val="FFFFFF"/>
      </a:lt2>
      <a:accent1>
        <a:srgbClr val="30243C"/>
      </a:accent1>
      <a:accent2>
        <a:srgbClr val="48365A"/>
      </a:accent2>
      <a:accent3>
        <a:srgbClr val="BFAFCF"/>
      </a:accent3>
      <a:accent4>
        <a:srgbClr val="DFD7E7"/>
      </a:accent4>
      <a:accent5>
        <a:srgbClr val="604878"/>
      </a:accent5>
      <a:accent6>
        <a:srgbClr val="DFD7E7"/>
      </a:accent6>
      <a:hlink>
        <a:srgbClr val="7030A0"/>
      </a:hlink>
      <a:folHlink>
        <a:srgbClr val="604878"/>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CBB24-CCFE-481B-850F-9E71C183DA9F}">
  <dimension ref="A1:K122"/>
  <sheetViews>
    <sheetView tabSelected="1" topLeftCell="A13" zoomScale="110" zoomScaleNormal="110" workbookViewId="0">
      <selection activeCell="E21" sqref="E21"/>
    </sheetView>
  </sheetViews>
  <sheetFormatPr defaultRowHeight="14.5" x14ac:dyDescent="0.35"/>
  <cols>
    <col min="1" max="1" width="6.54296875" customWidth="1"/>
    <col min="2" max="2" width="14.453125" customWidth="1"/>
    <col min="3" max="3" width="17.7265625" style="21" customWidth="1"/>
    <col min="4" max="4" width="20.26953125" customWidth="1"/>
    <col min="5" max="5" width="19.453125" customWidth="1"/>
    <col min="6" max="6" width="19.54296875" customWidth="1"/>
    <col min="7" max="7" width="11.7265625" customWidth="1"/>
    <col min="8" max="8" width="18.26953125" customWidth="1"/>
    <col min="9" max="9" width="15.81640625" customWidth="1"/>
    <col min="10" max="10" width="21" customWidth="1"/>
    <col min="11" max="11" width="25" customWidth="1"/>
  </cols>
  <sheetData>
    <row r="1" spans="1:11" ht="58" x14ac:dyDescent="0.35">
      <c r="A1" s="7" t="s">
        <v>0</v>
      </c>
      <c r="B1" s="8" t="s">
        <v>1</v>
      </c>
      <c r="C1" s="23" t="s">
        <v>2</v>
      </c>
      <c r="D1" s="8" t="s">
        <v>3</v>
      </c>
      <c r="E1" s="8" t="s">
        <v>4</v>
      </c>
      <c r="F1" s="8" t="s">
        <v>5</v>
      </c>
      <c r="G1" s="8" t="s">
        <v>6</v>
      </c>
      <c r="H1" s="8" t="s">
        <v>7</v>
      </c>
      <c r="I1" s="8" t="s">
        <v>8</v>
      </c>
      <c r="J1" s="8" t="s">
        <v>9</v>
      </c>
      <c r="K1" s="8" t="s">
        <v>10</v>
      </c>
    </row>
    <row r="2" spans="1:11" x14ac:dyDescent="0.35">
      <c r="A2" s="4">
        <v>1</v>
      </c>
      <c r="B2" s="1" t="s">
        <v>17</v>
      </c>
      <c r="C2" s="24">
        <v>45292</v>
      </c>
      <c r="D2" s="1" t="s">
        <v>353</v>
      </c>
      <c r="E2" s="1">
        <v>2024</v>
      </c>
      <c r="F2" s="1" t="s">
        <v>396</v>
      </c>
      <c r="G2" s="1">
        <v>9.94</v>
      </c>
      <c r="H2" s="1">
        <v>-23.51</v>
      </c>
      <c r="I2" s="1">
        <v>52.25</v>
      </c>
      <c r="J2" s="1">
        <v>4.18</v>
      </c>
      <c r="K2" s="1">
        <v>0.5554</v>
      </c>
    </row>
    <row r="3" spans="1:11" x14ac:dyDescent="0.35">
      <c r="A3" s="4">
        <v>2</v>
      </c>
      <c r="B3" s="1" t="s">
        <v>381</v>
      </c>
      <c r="C3" s="24" t="s">
        <v>371</v>
      </c>
      <c r="D3" s="1" t="s">
        <v>19</v>
      </c>
      <c r="E3" s="1">
        <v>0</v>
      </c>
      <c r="F3" s="1" t="s">
        <v>21</v>
      </c>
      <c r="G3" s="1">
        <v>9.7899999999999991</v>
      </c>
      <c r="H3" s="1">
        <v>31.84</v>
      </c>
      <c r="I3" s="1">
        <v>-62.35</v>
      </c>
      <c r="J3" s="1">
        <v>4.1500000000000004</v>
      </c>
      <c r="K3" s="1">
        <v>0.57479999999999998</v>
      </c>
    </row>
    <row r="4" spans="1:11" x14ac:dyDescent="0.35">
      <c r="A4" s="4">
        <v>3</v>
      </c>
      <c r="B4" s="1" t="s">
        <v>379</v>
      </c>
      <c r="C4" s="24">
        <v>45536</v>
      </c>
      <c r="D4" s="1">
        <v>1</v>
      </c>
      <c r="E4" s="1" t="s">
        <v>20</v>
      </c>
      <c r="F4" s="1" t="s">
        <v>21</v>
      </c>
      <c r="G4" s="1">
        <v>10.34</v>
      </c>
      <c r="H4" s="1">
        <v>36.65</v>
      </c>
      <c r="I4" s="1">
        <v>66.69</v>
      </c>
      <c r="J4" s="1">
        <v>3.57</v>
      </c>
      <c r="K4" s="1">
        <v>0.56810000000000005</v>
      </c>
    </row>
    <row r="5" spans="1:11" x14ac:dyDescent="0.35">
      <c r="A5" s="4">
        <v>4</v>
      </c>
      <c r="B5" s="1" t="s">
        <v>380</v>
      </c>
      <c r="C5" s="24" t="s">
        <v>29</v>
      </c>
      <c r="D5" s="1" t="s">
        <v>19</v>
      </c>
      <c r="E5" s="24">
        <v>2024</v>
      </c>
      <c r="F5" s="1" t="s">
        <v>396</v>
      </c>
      <c r="G5" s="1">
        <v>16.16</v>
      </c>
      <c r="H5" s="1">
        <v>22.84</v>
      </c>
      <c r="I5" s="1">
        <v>58.36</v>
      </c>
      <c r="J5" s="1">
        <v>3.78</v>
      </c>
      <c r="K5" s="1">
        <v>0.55679999999999996</v>
      </c>
    </row>
    <row r="6" spans="1:11" x14ac:dyDescent="0.35">
      <c r="A6" s="4">
        <v>6</v>
      </c>
      <c r="B6" s="1" t="s">
        <v>33</v>
      </c>
      <c r="C6" s="24" t="s">
        <v>34</v>
      </c>
      <c r="D6" s="1" t="s">
        <v>366</v>
      </c>
      <c r="E6" s="1">
        <v>0</v>
      </c>
      <c r="F6" s="1" t="s">
        <v>396</v>
      </c>
      <c r="G6" s="1">
        <v>9.73</v>
      </c>
      <c r="H6" s="1">
        <v>26.21</v>
      </c>
      <c r="I6" s="1">
        <v>51.76</v>
      </c>
      <c r="J6" s="1">
        <v>3.64</v>
      </c>
      <c r="K6" s="1">
        <v>0.56040000000000001</v>
      </c>
    </row>
    <row r="7" spans="1:11" x14ac:dyDescent="0.35">
      <c r="A7" s="4">
        <v>7</v>
      </c>
      <c r="B7" s="1" t="s">
        <v>36</v>
      </c>
      <c r="C7" s="24" t="s">
        <v>37</v>
      </c>
      <c r="D7" s="1" t="s">
        <v>366</v>
      </c>
      <c r="E7" s="1" t="s">
        <v>20</v>
      </c>
      <c r="F7" s="1" t="s">
        <v>398</v>
      </c>
      <c r="G7" s="1">
        <v>11.38</v>
      </c>
      <c r="H7" s="1">
        <v>27.66</v>
      </c>
      <c r="I7" s="1">
        <v>54.61</v>
      </c>
      <c r="J7" s="1">
        <v>3.68</v>
      </c>
      <c r="K7" s="1">
        <v>0.58050000000000002</v>
      </c>
    </row>
    <row r="8" spans="1:11" x14ac:dyDescent="0.35">
      <c r="A8" s="4">
        <v>8</v>
      </c>
      <c r="B8" s="1" t="s">
        <v>38</v>
      </c>
      <c r="C8" s="22">
        <v>45475</v>
      </c>
      <c r="D8" s="1" t="s">
        <v>354</v>
      </c>
      <c r="E8" s="24">
        <v>2024</v>
      </c>
      <c r="F8" s="1" t="s">
        <v>397</v>
      </c>
      <c r="G8" s="1">
        <v>0</v>
      </c>
      <c r="H8" s="1">
        <v>34.119999999999997</v>
      </c>
      <c r="I8" s="1">
        <v>53.59</v>
      </c>
      <c r="J8" s="1">
        <v>3.8</v>
      </c>
      <c r="K8" s="1">
        <v>0.58169999999999999</v>
      </c>
    </row>
    <row r="9" spans="1:11" x14ac:dyDescent="0.35">
      <c r="A9" s="4">
        <v>9</v>
      </c>
      <c r="B9" s="1" t="s">
        <v>40</v>
      </c>
      <c r="C9" s="24" t="s">
        <v>374</v>
      </c>
      <c r="D9" s="1" t="s">
        <v>366</v>
      </c>
      <c r="E9" s="1" t="s">
        <v>20</v>
      </c>
      <c r="F9" s="1" t="s">
        <v>396</v>
      </c>
      <c r="G9" s="1">
        <v>15.22</v>
      </c>
      <c r="H9" s="1">
        <v>36.17</v>
      </c>
      <c r="I9" s="1">
        <v>67.069999999999993</v>
      </c>
      <c r="J9" s="1">
        <v>3.64</v>
      </c>
      <c r="K9" s="1">
        <v>0.55879999999999996</v>
      </c>
    </row>
    <row r="10" spans="1:11" x14ac:dyDescent="0.35">
      <c r="A10" s="4">
        <v>11</v>
      </c>
      <c r="B10" s="1" t="s">
        <v>391</v>
      </c>
      <c r="C10" s="24" t="s">
        <v>45</v>
      </c>
      <c r="D10" s="1">
        <v>3</v>
      </c>
      <c r="E10" s="1" t="s">
        <v>20</v>
      </c>
      <c r="F10" s="1" t="s">
        <v>397</v>
      </c>
      <c r="G10" s="1">
        <v>13.74</v>
      </c>
      <c r="H10" s="1">
        <v>25.73</v>
      </c>
      <c r="I10" s="1">
        <v>62.86</v>
      </c>
      <c r="J10" s="1">
        <v>4.34</v>
      </c>
      <c r="K10" s="1">
        <v>0.56759999999999999</v>
      </c>
    </row>
    <row r="11" spans="1:11" x14ac:dyDescent="0.35">
      <c r="A11" s="4">
        <v>12</v>
      </c>
      <c r="B11" s="1" t="s">
        <v>382</v>
      </c>
      <c r="C11" s="22">
        <v>45507</v>
      </c>
      <c r="D11" s="1" t="s">
        <v>46</v>
      </c>
      <c r="E11" s="1" t="s">
        <v>20</v>
      </c>
      <c r="F11" s="1" t="s">
        <v>396</v>
      </c>
      <c r="G11" s="1">
        <v>13.11</v>
      </c>
      <c r="H11" s="1">
        <v>22.64</v>
      </c>
      <c r="I11" s="1">
        <v>51.04</v>
      </c>
      <c r="J11" s="1">
        <v>3.52</v>
      </c>
      <c r="K11" s="1">
        <v>0.57310000000000005</v>
      </c>
    </row>
    <row r="12" spans="1:11" x14ac:dyDescent="0.35">
      <c r="A12" s="4">
        <v>13</v>
      </c>
      <c r="B12" s="1" t="s">
        <v>395</v>
      </c>
      <c r="C12" s="24" t="s">
        <v>50</v>
      </c>
      <c r="D12" s="1" t="s">
        <v>46</v>
      </c>
      <c r="E12" s="1" t="s">
        <v>20</v>
      </c>
      <c r="F12" s="1" t="s">
        <v>396</v>
      </c>
      <c r="G12" s="1">
        <v>7.76</v>
      </c>
      <c r="H12" s="1">
        <v>27.87</v>
      </c>
      <c r="I12" s="1">
        <v>71.91</v>
      </c>
      <c r="J12" s="1">
        <v>3.96</v>
      </c>
      <c r="K12" s="1">
        <v>0.55789999999999995</v>
      </c>
    </row>
    <row r="13" spans="1:11" x14ac:dyDescent="0.35">
      <c r="A13" s="4">
        <v>14</v>
      </c>
      <c r="B13" s="1" t="s">
        <v>394</v>
      </c>
      <c r="C13" s="24" t="s">
        <v>52</v>
      </c>
      <c r="D13" s="1" t="s">
        <v>46</v>
      </c>
      <c r="E13" s="1"/>
      <c r="F13" s="1" t="s">
        <v>396</v>
      </c>
      <c r="G13" s="1">
        <v>15.18</v>
      </c>
      <c r="H13" s="1">
        <v>30.67</v>
      </c>
      <c r="I13" s="1">
        <v>55.87</v>
      </c>
      <c r="J13" s="1">
        <v>4.07</v>
      </c>
      <c r="K13" s="1">
        <v>0.56069999999999998</v>
      </c>
    </row>
    <row r="14" spans="1:11" x14ac:dyDescent="0.35">
      <c r="A14" s="4">
        <v>16</v>
      </c>
      <c r="B14" s="1" t="s">
        <v>55</v>
      </c>
      <c r="C14" s="24" t="s">
        <v>56</v>
      </c>
      <c r="D14" s="1">
        <v>4</v>
      </c>
      <c r="E14" s="1" t="s">
        <v>20</v>
      </c>
      <c r="F14" s="1" t="s">
        <v>398</v>
      </c>
      <c r="G14" s="1">
        <v>9.39</v>
      </c>
      <c r="H14" s="1">
        <v>27.73</v>
      </c>
      <c r="I14" s="1">
        <v>53.55</v>
      </c>
      <c r="J14" s="1">
        <v>4.4000000000000004</v>
      </c>
      <c r="K14" s="1">
        <v>0.58009999999999995</v>
      </c>
    </row>
    <row r="15" spans="1:11" x14ac:dyDescent="0.35">
      <c r="A15" s="4">
        <v>17</v>
      </c>
      <c r="B15" s="1" t="s">
        <v>393</v>
      </c>
      <c r="C15" s="24" t="s">
        <v>375</v>
      </c>
      <c r="D15" s="1" t="s">
        <v>57</v>
      </c>
      <c r="E15" s="1" t="s">
        <v>20</v>
      </c>
      <c r="F15" s="1"/>
      <c r="G15" s="1">
        <v>12.86</v>
      </c>
      <c r="H15" s="1">
        <v>23.01</v>
      </c>
      <c r="I15" s="1">
        <v>57.99</v>
      </c>
      <c r="J15" s="1">
        <v>4.43</v>
      </c>
      <c r="K15" s="1">
        <v>0.57740000000000002</v>
      </c>
    </row>
    <row r="16" spans="1:11" x14ac:dyDescent="0.35">
      <c r="A16" s="4">
        <v>18</v>
      </c>
      <c r="B16" s="1" t="s">
        <v>60</v>
      </c>
      <c r="C16" s="24" t="s">
        <v>61</v>
      </c>
      <c r="D16" s="1" t="s">
        <v>356</v>
      </c>
      <c r="E16" s="1">
        <v>2024</v>
      </c>
      <c r="F16" s="1" t="s">
        <v>396</v>
      </c>
      <c r="G16" s="1">
        <v>13.81</v>
      </c>
      <c r="H16" s="1">
        <v>22.42</v>
      </c>
      <c r="I16" s="1">
        <v>66.099999999999994</v>
      </c>
      <c r="J16" s="1">
        <v>4.26</v>
      </c>
      <c r="K16" s="1">
        <v>0.58150000000000002</v>
      </c>
    </row>
    <row r="17" spans="1:11" x14ac:dyDescent="0.35">
      <c r="A17" s="4">
        <v>19</v>
      </c>
      <c r="B17" s="1" t="s">
        <v>62</v>
      </c>
      <c r="C17" s="24" t="s">
        <v>372</v>
      </c>
      <c r="D17" s="1" t="s">
        <v>355</v>
      </c>
      <c r="E17" s="1"/>
      <c r="F17" s="1" t="s">
        <v>397</v>
      </c>
      <c r="G17" s="1">
        <v>14.92</v>
      </c>
      <c r="H17" s="1">
        <v>-38.04</v>
      </c>
      <c r="I17" s="1">
        <v>53.63</v>
      </c>
      <c r="J17" s="1">
        <v>3.95</v>
      </c>
      <c r="K17" s="1">
        <v>0.5726</v>
      </c>
    </row>
    <row r="18" spans="1:11" x14ac:dyDescent="0.35">
      <c r="A18" s="4">
        <v>21</v>
      </c>
      <c r="B18" s="1" t="s">
        <v>66</v>
      </c>
      <c r="C18" s="24">
        <v>45356</v>
      </c>
      <c r="D18" s="1" t="s">
        <v>68</v>
      </c>
      <c r="E18" s="1" t="s">
        <v>20</v>
      </c>
      <c r="F18" s="1" t="s">
        <v>396</v>
      </c>
      <c r="G18" s="1">
        <v>7.25</v>
      </c>
      <c r="H18" s="1">
        <v>30.97</v>
      </c>
      <c r="I18" s="1">
        <v>62.95</v>
      </c>
      <c r="J18" s="1">
        <v>3.41</v>
      </c>
      <c r="K18" s="1">
        <v>0.57499999999999996</v>
      </c>
    </row>
    <row r="19" spans="1:11" x14ac:dyDescent="0.35">
      <c r="A19" s="4">
        <v>22</v>
      </c>
      <c r="B19" s="1" t="s">
        <v>69</v>
      </c>
      <c r="C19" s="24" t="s">
        <v>70</v>
      </c>
      <c r="D19" s="1" t="s">
        <v>357</v>
      </c>
      <c r="E19" s="24">
        <v>2024</v>
      </c>
      <c r="F19" s="1" t="s">
        <v>396</v>
      </c>
      <c r="G19" s="1">
        <v>7.38</v>
      </c>
      <c r="H19" s="1">
        <v>26.95</v>
      </c>
      <c r="I19" s="1">
        <v>61.31</v>
      </c>
      <c r="J19" s="1">
        <v>3.69</v>
      </c>
      <c r="K19" s="1">
        <v>0.5696</v>
      </c>
    </row>
    <row r="20" spans="1:11" x14ac:dyDescent="0.35">
      <c r="A20" s="4">
        <v>23</v>
      </c>
      <c r="B20" s="1" t="s">
        <v>71</v>
      </c>
      <c r="C20" s="24" t="s">
        <v>72</v>
      </c>
      <c r="D20" s="1" t="s">
        <v>358</v>
      </c>
      <c r="E20" s="1" t="s">
        <v>20</v>
      </c>
      <c r="F20" s="1" t="s">
        <v>397</v>
      </c>
      <c r="G20" s="1">
        <v>17.59</v>
      </c>
      <c r="H20" s="1">
        <v>31.37</v>
      </c>
      <c r="I20" s="1">
        <v>55.35</v>
      </c>
      <c r="J20" s="1">
        <v>3.9</v>
      </c>
      <c r="K20" s="1">
        <v>0.56779999999999997</v>
      </c>
    </row>
    <row r="21" spans="1:11" x14ac:dyDescent="0.35">
      <c r="A21" s="4">
        <v>24</v>
      </c>
      <c r="B21" s="1" t="s">
        <v>392</v>
      </c>
      <c r="C21" s="24" t="s">
        <v>74</v>
      </c>
      <c r="D21" s="1"/>
      <c r="E21" s="24">
        <v>2024</v>
      </c>
      <c r="F21" s="1"/>
      <c r="G21" s="1">
        <v>11.25</v>
      </c>
      <c r="H21" s="1">
        <v>28.4</v>
      </c>
      <c r="I21" s="1">
        <v>69</v>
      </c>
      <c r="J21" s="1">
        <v>3.46</v>
      </c>
      <c r="K21" s="1">
        <v>0.57369999999999999</v>
      </c>
    </row>
    <row r="22" spans="1:11" x14ac:dyDescent="0.35">
      <c r="A22" s="4">
        <v>26</v>
      </c>
      <c r="B22" s="1" t="s">
        <v>77</v>
      </c>
      <c r="C22" s="24" t="s">
        <v>78</v>
      </c>
      <c r="D22" s="1" t="s">
        <v>367</v>
      </c>
      <c r="E22" s="1"/>
      <c r="F22" s="1" t="s">
        <v>396</v>
      </c>
      <c r="G22" s="1">
        <v>17.34</v>
      </c>
      <c r="H22" s="1">
        <v>30.91</v>
      </c>
      <c r="I22" s="1">
        <v>51.11</v>
      </c>
      <c r="J22" s="1">
        <v>4.45</v>
      </c>
      <c r="K22" s="1">
        <v>0.57809999999999995</v>
      </c>
    </row>
    <row r="23" spans="1:11" x14ac:dyDescent="0.35">
      <c r="A23" s="4">
        <v>27</v>
      </c>
      <c r="B23" s="1" t="s">
        <v>80</v>
      </c>
      <c r="C23" s="24" t="s">
        <v>81</v>
      </c>
      <c r="D23" s="1" t="s">
        <v>367</v>
      </c>
      <c r="E23" s="1" t="s">
        <v>20</v>
      </c>
      <c r="F23" s="1" t="s">
        <v>396</v>
      </c>
      <c r="G23" s="1">
        <v>17.18</v>
      </c>
      <c r="H23" s="1">
        <v>23.99</v>
      </c>
      <c r="I23" s="1">
        <v>60.68</v>
      </c>
      <c r="J23" s="1">
        <v>3.62</v>
      </c>
      <c r="K23" s="1">
        <v>0.56759999999999999</v>
      </c>
    </row>
    <row r="24" spans="1:11" x14ac:dyDescent="0.35">
      <c r="A24" s="4">
        <v>28</v>
      </c>
      <c r="B24" s="1" t="s">
        <v>82</v>
      </c>
      <c r="C24" s="24" t="s">
        <v>83</v>
      </c>
      <c r="D24" s="1">
        <v>6</v>
      </c>
      <c r="E24" s="1" t="s">
        <v>20</v>
      </c>
      <c r="F24" s="1" t="s">
        <v>396</v>
      </c>
      <c r="G24" s="1">
        <v>18.82</v>
      </c>
      <c r="H24" s="1">
        <v>25.77</v>
      </c>
      <c r="I24" s="1">
        <v>67.25</v>
      </c>
      <c r="J24" s="1">
        <v>3.88</v>
      </c>
      <c r="K24" s="1">
        <v>0.56820000000000004</v>
      </c>
    </row>
    <row r="25" spans="1:11" x14ac:dyDescent="0.35">
      <c r="A25" s="4">
        <v>29</v>
      </c>
      <c r="B25" s="1" t="s">
        <v>84</v>
      </c>
      <c r="C25" s="24" t="s">
        <v>85</v>
      </c>
      <c r="D25" s="1" t="s">
        <v>79</v>
      </c>
      <c r="E25" s="1" t="s">
        <v>20</v>
      </c>
      <c r="F25" s="1" t="s">
        <v>398</v>
      </c>
      <c r="G25" s="1">
        <v>13.67</v>
      </c>
      <c r="H25" s="1">
        <v>33.93</v>
      </c>
      <c r="I25" s="1">
        <v>53.41</v>
      </c>
      <c r="J25" s="1">
        <v>3.71</v>
      </c>
      <c r="K25" s="1">
        <v>0.58120000000000005</v>
      </c>
    </row>
    <row r="26" spans="1:11" x14ac:dyDescent="0.35">
      <c r="A26" s="4">
        <v>31</v>
      </c>
      <c r="B26" s="1" t="s">
        <v>88</v>
      </c>
      <c r="C26" s="24" t="s">
        <v>89</v>
      </c>
      <c r="D26" s="1" t="s">
        <v>90</v>
      </c>
      <c r="E26" s="1">
        <v>0</v>
      </c>
      <c r="F26" s="1" t="s">
        <v>21</v>
      </c>
      <c r="G26" s="1">
        <v>21.33</v>
      </c>
      <c r="H26" s="1">
        <v>28.27</v>
      </c>
      <c r="I26" s="1">
        <v>70.72</v>
      </c>
      <c r="J26" s="1">
        <v>4</v>
      </c>
      <c r="K26" s="1">
        <v>0.57189999999999996</v>
      </c>
    </row>
    <row r="27" spans="1:11" x14ac:dyDescent="0.35">
      <c r="A27" s="4">
        <v>32</v>
      </c>
      <c r="B27" s="1" t="s">
        <v>91</v>
      </c>
      <c r="C27" s="24" t="s">
        <v>92</v>
      </c>
      <c r="D27" s="1" t="s">
        <v>90</v>
      </c>
      <c r="E27" s="1" t="s">
        <v>20</v>
      </c>
      <c r="F27" s="1" t="s">
        <v>396</v>
      </c>
      <c r="G27" s="1">
        <v>13.78</v>
      </c>
      <c r="H27" s="1">
        <v>26.69</v>
      </c>
      <c r="I27" s="1">
        <v>-55.74</v>
      </c>
      <c r="J27" s="1">
        <v>4.0999999999999996</v>
      </c>
      <c r="K27" s="1">
        <v>0.5655</v>
      </c>
    </row>
    <row r="28" spans="1:11" x14ac:dyDescent="0.35">
      <c r="A28" s="4">
        <v>33</v>
      </c>
      <c r="B28" s="1" t="s">
        <v>93</v>
      </c>
      <c r="C28" s="24" t="s">
        <v>94</v>
      </c>
      <c r="D28" s="1">
        <v>7</v>
      </c>
      <c r="E28" s="1" t="s">
        <v>20</v>
      </c>
      <c r="F28" s="1" t="s">
        <v>396</v>
      </c>
      <c r="G28" s="1">
        <v>14.75</v>
      </c>
      <c r="H28" s="1">
        <v>29.23</v>
      </c>
      <c r="I28" s="1">
        <v>70.44</v>
      </c>
      <c r="J28" s="1">
        <v>4.38</v>
      </c>
      <c r="K28" s="1">
        <v>0.55820000000000003</v>
      </c>
    </row>
    <row r="29" spans="1:11" x14ac:dyDescent="0.35">
      <c r="A29" s="4">
        <v>34</v>
      </c>
      <c r="B29" s="1" t="s">
        <v>95</v>
      </c>
      <c r="C29" s="24" t="s">
        <v>96</v>
      </c>
      <c r="D29" s="1" t="s">
        <v>359</v>
      </c>
      <c r="E29" s="1" t="s">
        <v>20</v>
      </c>
      <c r="F29" s="1" t="s">
        <v>21</v>
      </c>
      <c r="G29" s="1">
        <v>8.1999999999999993</v>
      </c>
      <c r="H29" s="1">
        <v>30.68</v>
      </c>
      <c r="I29" s="1">
        <v>61.13</v>
      </c>
      <c r="J29" s="1">
        <v>3.54</v>
      </c>
      <c r="K29" s="1">
        <v>0.56640000000000001</v>
      </c>
    </row>
    <row r="30" spans="1:11" x14ac:dyDescent="0.35">
      <c r="A30" s="4">
        <v>36</v>
      </c>
      <c r="B30" s="1" t="s">
        <v>99</v>
      </c>
      <c r="C30" s="24" t="s">
        <v>100</v>
      </c>
      <c r="D30" s="1" t="s">
        <v>360</v>
      </c>
      <c r="E30" s="1" t="s">
        <v>20</v>
      </c>
      <c r="F30" s="1" t="s">
        <v>396</v>
      </c>
      <c r="G30" s="1">
        <v>14.96</v>
      </c>
      <c r="H30" s="1">
        <v>37.9</v>
      </c>
      <c r="I30" s="1">
        <v>52.95</v>
      </c>
      <c r="J30" s="1">
        <v>3.52</v>
      </c>
      <c r="K30" s="1">
        <v>0.56059999999999999</v>
      </c>
    </row>
    <row r="31" spans="1:11" x14ac:dyDescent="0.35">
      <c r="A31" s="4">
        <v>37</v>
      </c>
      <c r="B31" s="1" t="s">
        <v>102</v>
      </c>
      <c r="C31" s="24" t="s">
        <v>103</v>
      </c>
      <c r="D31" s="1" t="s">
        <v>361</v>
      </c>
      <c r="E31" s="1" t="s">
        <v>20</v>
      </c>
      <c r="F31" s="1" t="s">
        <v>396</v>
      </c>
      <c r="G31" s="1">
        <v>14.26</v>
      </c>
      <c r="H31" s="1">
        <v>33.92</v>
      </c>
      <c r="I31" s="1">
        <v>54.48</v>
      </c>
      <c r="J31" s="1">
        <v>4.07</v>
      </c>
      <c r="K31" s="1">
        <v>0.56430000000000002</v>
      </c>
    </row>
    <row r="32" spans="1:11" x14ac:dyDescent="0.35">
      <c r="A32" s="4">
        <v>38</v>
      </c>
      <c r="B32" s="1" t="s">
        <v>104</v>
      </c>
      <c r="C32" s="24" t="s">
        <v>105</v>
      </c>
      <c r="D32" s="1" t="s">
        <v>360</v>
      </c>
      <c r="E32" s="1" t="s">
        <v>20</v>
      </c>
      <c r="F32" s="1" t="s">
        <v>21</v>
      </c>
      <c r="G32" s="1">
        <v>17.149999999999999</v>
      </c>
      <c r="H32" s="1">
        <v>22.66</v>
      </c>
      <c r="I32" s="1">
        <v>59.32</v>
      </c>
      <c r="J32" s="1">
        <v>3.69</v>
      </c>
      <c r="K32" s="1">
        <v>0.55810000000000004</v>
      </c>
    </row>
    <row r="33" spans="1:11" x14ac:dyDescent="0.35">
      <c r="A33" s="4">
        <v>39</v>
      </c>
      <c r="B33" s="1" t="s">
        <v>106</v>
      </c>
      <c r="C33" s="24" t="s">
        <v>107</v>
      </c>
      <c r="D33" s="1" t="s">
        <v>101</v>
      </c>
      <c r="E33" s="1" t="s">
        <v>20</v>
      </c>
      <c r="F33" s="1" t="s">
        <v>396</v>
      </c>
      <c r="G33" s="1">
        <v>10.14</v>
      </c>
      <c r="H33" s="1">
        <v>34.340000000000003</v>
      </c>
      <c r="I33" s="1">
        <v>62.14</v>
      </c>
      <c r="J33" s="1">
        <v>3.85</v>
      </c>
      <c r="K33" s="1">
        <v>0.55820000000000003</v>
      </c>
    </row>
    <row r="34" spans="1:11" x14ac:dyDescent="0.35">
      <c r="A34" s="4">
        <v>41</v>
      </c>
      <c r="B34" s="1" t="s">
        <v>110</v>
      </c>
      <c r="C34" s="24" t="s">
        <v>111</v>
      </c>
      <c r="D34" s="1" t="s">
        <v>362</v>
      </c>
      <c r="E34" s="1" t="s">
        <v>20</v>
      </c>
      <c r="F34" s="1" t="s">
        <v>396</v>
      </c>
      <c r="G34" s="1">
        <v>9.52</v>
      </c>
      <c r="H34" s="1">
        <v>25.49</v>
      </c>
      <c r="I34" s="1">
        <v>52.26</v>
      </c>
      <c r="J34" s="1">
        <v>4.22</v>
      </c>
      <c r="K34" s="1">
        <v>0.57920000000000005</v>
      </c>
    </row>
    <row r="35" spans="1:11" x14ac:dyDescent="0.35">
      <c r="A35" s="4">
        <v>42</v>
      </c>
      <c r="B35" s="1" t="s">
        <v>113</v>
      </c>
      <c r="C35" s="24" t="s">
        <v>114</v>
      </c>
      <c r="D35" s="1" t="s">
        <v>363</v>
      </c>
      <c r="E35" s="1" t="s">
        <v>20</v>
      </c>
      <c r="F35" s="1" t="s">
        <v>396</v>
      </c>
      <c r="G35" s="1">
        <v>8.85</v>
      </c>
      <c r="H35" s="1">
        <v>37.74</v>
      </c>
      <c r="I35" s="1">
        <v>69.02</v>
      </c>
      <c r="J35" s="1">
        <v>4.43</v>
      </c>
      <c r="K35" s="1">
        <v>0.55789999999999995</v>
      </c>
    </row>
    <row r="36" spans="1:11" x14ac:dyDescent="0.35">
      <c r="A36" s="4">
        <v>43</v>
      </c>
      <c r="B36" s="1" t="s">
        <v>115</v>
      </c>
      <c r="C36" s="24" t="s">
        <v>116</v>
      </c>
      <c r="D36" s="1" t="s">
        <v>112</v>
      </c>
      <c r="E36" s="1">
        <v>0</v>
      </c>
      <c r="F36" s="1" t="s">
        <v>396</v>
      </c>
      <c r="G36" s="1">
        <v>10.99</v>
      </c>
      <c r="H36" s="1">
        <v>37.75</v>
      </c>
      <c r="I36" s="1">
        <v>67.650000000000006</v>
      </c>
      <c r="J36" s="1">
        <v>4.3099999999999996</v>
      </c>
      <c r="K36" s="1">
        <v>0.57750000000000001</v>
      </c>
    </row>
    <row r="37" spans="1:11" x14ac:dyDescent="0.35">
      <c r="A37" s="4">
        <v>44</v>
      </c>
      <c r="B37" s="1" t="s">
        <v>117</v>
      </c>
      <c r="C37" s="24" t="s">
        <v>118</v>
      </c>
      <c r="D37" s="1" t="s">
        <v>112</v>
      </c>
      <c r="E37" s="1" t="s">
        <v>20</v>
      </c>
      <c r="F37" s="1" t="s">
        <v>21</v>
      </c>
      <c r="G37" s="1">
        <v>8.3000000000000007</v>
      </c>
      <c r="H37" s="1">
        <v>36.700000000000003</v>
      </c>
      <c r="I37" s="1">
        <v>68.89</v>
      </c>
      <c r="J37" s="1">
        <v>3.63</v>
      </c>
      <c r="K37" s="1">
        <v>0.5776</v>
      </c>
    </row>
    <row r="38" spans="1:11" x14ac:dyDescent="0.35">
      <c r="A38" s="4">
        <v>46</v>
      </c>
      <c r="B38" s="1" t="s">
        <v>121</v>
      </c>
      <c r="C38" s="24" t="s">
        <v>122</v>
      </c>
      <c r="D38" s="1" t="s">
        <v>123</v>
      </c>
      <c r="E38" s="1" t="s">
        <v>20</v>
      </c>
      <c r="F38" s="1" t="s">
        <v>396</v>
      </c>
      <c r="G38" s="1">
        <v>15.15</v>
      </c>
      <c r="H38" s="1">
        <v>36.19</v>
      </c>
      <c r="I38" s="1">
        <v>57.29</v>
      </c>
      <c r="J38" s="1">
        <v>3.43</v>
      </c>
      <c r="K38" s="1">
        <v>0.57899999999999996</v>
      </c>
    </row>
    <row r="39" spans="1:11" x14ac:dyDescent="0.35">
      <c r="A39" s="4">
        <v>47</v>
      </c>
      <c r="B39" s="1" t="s">
        <v>124</v>
      </c>
      <c r="C39" s="24" t="s">
        <v>125</v>
      </c>
      <c r="D39" s="1" t="s">
        <v>123</v>
      </c>
      <c r="E39" s="1" t="s">
        <v>20</v>
      </c>
      <c r="F39" s="1" t="s">
        <v>396</v>
      </c>
      <c r="G39" s="1">
        <v>18.8</v>
      </c>
      <c r="H39" s="1">
        <v>21.69</v>
      </c>
      <c r="I39" s="1">
        <v>63.12</v>
      </c>
      <c r="J39" s="1">
        <v>3.76</v>
      </c>
      <c r="K39" s="1">
        <v>0.57689999999999997</v>
      </c>
    </row>
    <row r="40" spans="1:11" x14ac:dyDescent="0.35">
      <c r="A40" s="4">
        <v>48</v>
      </c>
      <c r="B40" s="1" t="s">
        <v>126</v>
      </c>
      <c r="C40" s="24" t="s">
        <v>373</v>
      </c>
      <c r="D40" s="1">
        <v>10</v>
      </c>
      <c r="E40" s="1" t="s">
        <v>20</v>
      </c>
      <c r="F40" s="1" t="s">
        <v>396</v>
      </c>
      <c r="G40" s="1">
        <v>8.39</v>
      </c>
      <c r="H40" s="1">
        <v>37.19</v>
      </c>
      <c r="I40" s="1">
        <v>54.18</v>
      </c>
      <c r="J40" s="1">
        <v>3.45</v>
      </c>
      <c r="K40" s="1">
        <v>0.56850000000000001</v>
      </c>
    </row>
    <row r="41" spans="1:11" x14ac:dyDescent="0.35">
      <c r="A41" s="4">
        <v>49</v>
      </c>
      <c r="B41" s="1" t="s">
        <v>128</v>
      </c>
      <c r="C41" s="24" t="s">
        <v>129</v>
      </c>
      <c r="D41" s="1" t="s">
        <v>364</v>
      </c>
      <c r="E41" s="1" t="s">
        <v>20</v>
      </c>
      <c r="F41" s="1" t="s">
        <v>396</v>
      </c>
      <c r="G41" s="1">
        <v>15.24</v>
      </c>
      <c r="H41" s="1">
        <v>37.92</v>
      </c>
      <c r="I41" s="1">
        <v>66.209999999999994</v>
      </c>
      <c r="J41" s="1">
        <v>3.61</v>
      </c>
      <c r="K41" s="1">
        <v>0.56840000000000002</v>
      </c>
    </row>
    <row r="42" spans="1:11" x14ac:dyDescent="0.35">
      <c r="A42" s="4">
        <v>51</v>
      </c>
      <c r="B42" s="1" t="s">
        <v>132</v>
      </c>
      <c r="C42" s="24" t="s">
        <v>133</v>
      </c>
      <c r="D42" s="1" t="s">
        <v>134</v>
      </c>
      <c r="E42" s="1" t="s">
        <v>20</v>
      </c>
      <c r="F42" s="1" t="s">
        <v>21</v>
      </c>
      <c r="G42" s="1">
        <v>12.05</v>
      </c>
      <c r="H42" s="1">
        <v>0</v>
      </c>
      <c r="I42" s="1">
        <v>64.900000000000006</v>
      </c>
      <c r="J42" s="1">
        <v>4.3499999999999996</v>
      </c>
      <c r="K42" s="1">
        <v>0.57279999999999998</v>
      </c>
    </row>
    <row r="43" spans="1:11" x14ac:dyDescent="0.35">
      <c r="A43" s="4">
        <v>52</v>
      </c>
      <c r="B43" s="1" t="s">
        <v>135</v>
      </c>
      <c r="C43" s="24" t="s">
        <v>136</v>
      </c>
      <c r="D43" s="1" t="s">
        <v>134</v>
      </c>
      <c r="E43" s="1" t="s">
        <v>20</v>
      </c>
      <c r="F43" s="1" t="s">
        <v>396</v>
      </c>
      <c r="G43" s="1">
        <v>7</v>
      </c>
      <c r="H43" s="1">
        <v>26.16</v>
      </c>
      <c r="I43" s="1">
        <v>59.46</v>
      </c>
      <c r="J43" s="1">
        <v>4.01</v>
      </c>
      <c r="K43" s="1">
        <v>0.57369999999999999</v>
      </c>
    </row>
    <row r="44" spans="1:11" x14ac:dyDescent="0.35">
      <c r="A44" s="4">
        <v>53</v>
      </c>
      <c r="B44" s="1" t="s">
        <v>137</v>
      </c>
      <c r="C44" s="24" t="s">
        <v>138</v>
      </c>
      <c r="D44" s="1" t="s">
        <v>134</v>
      </c>
      <c r="E44" s="1" t="s">
        <v>20</v>
      </c>
      <c r="F44" s="1" t="s">
        <v>396</v>
      </c>
      <c r="G44" s="1">
        <v>9.56</v>
      </c>
      <c r="H44" s="1">
        <v>29.52</v>
      </c>
      <c r="I44" s="1">
        <v>69.83</v>
      </c>
      <c r="J44" s="1">
        <v>4.24</v>
      </c>
      <c r="K44" s="1">
        <v>0.56210000000000004</v>
      </c>
    </row>
    <row r="45" spans="1:11" x14ac:dyDescent="0.35">
      <c r="A45" s="4">
        <v>54</v>
      </c>
      <c r="B45" s="1" t="s">
        <v>139</v>
      </c>
      <c r="C45" s="24" t="s">
        <v>140</v>
      </c>
      <c r="D45" s="1" t="s">
        <v>365</v>
      </c>
      <c r="E45" s="1" t="s">
        <v>20</v>
      </c>
      <c r="F45" s="1" t="s">
        <v>396</v>
      </c>
      <c r="G45" s="1">
        <v>14.6</v>
      </c>
      <c r="H45" s="1">
        <v>27.03</v>
      </c>
      <c r="I45" s="1">
        <v>68.010000000000005</v>
      </c>
      <c r="J45" s="1">
        <v>4.1900000000000004</v>
      </c>
      <c r="K45" s="1">
        <v>0.57410000000000005</v>
      </c>
    </row>
    <row r="46" spans="1:11" x14ac:dyDescent="0.35">
      <c r="A46" s="4">
        <v>56</v>
      </c>
      <c r="B46" s="1" t="s">
        <v>143</v>
      </c>
      <c r="C46" s="24" t="s">
        <v>144</v>
      </c>
      <c r="D46" s="1" t="s">
        <v>145</v>
      </c>
      <c r="E46" s="1" t="s">
        <v>20</v>
      </c>
      <c r="F46" s="1" t="s">
        <v>396</v>
      </c>
      <c r="G46" s="1">
        <v>8.77</v>
      </c>
      <c r="H46" s="1">
        <v>33.380000000000003</v>
      </c>
      <c r="I46" s="1">
        <v>69.64</v>
      </c>
      <c r="J46" s="1">
        <v>4.3</v>
      </c>
      <c r="K46" s="1">
        <v>0.57930000000000004</v>
      </c>
    </row>
    <row r="47" spans="1:11" x14ac:dyDescent="0.35">
      <c r="A47" s="4">
        <v>57</v>
      </c>
      <c r="B47" s="1" t="s">
        <v>146</v>
      </c>
      <c r="C47" s="24" t="s">
        <v>147</v>
      </c>
      <c r="D47" s="1" t="s">
        <v>369</v>
      </c>
      <c r="E47" s="1" t="s">
        <v>20</v>
      </c>
      <c r="F47" s="1" t="s">
        <v>398</v>
      </c>
      <c r="G47" s="1">
        <v>16.649999999999999</v>
      </c>
      <c r="H47" s="1">
        <v>33.53</v>
      </c>
      <c r="I47" s="1">
        <v>60.22</v>
      </c>
      <c r="J47" s="1">
        <v>3.99</v>
      </c>
      <c r="K47" s="1">
        <v>0.57999999999999996</v>
      </c>
    </row>
    <row r="48" spans="1:11" x14ac:dyDescent="0.35">
      <c r="A48" s="4">
        <v>58</v>
      </c>
      <c r="B48" s="1" t="s">
        <v>148</v>
      </c>
      <c r="C48" s="24" t="s">
        <v>149</v>
      </c>
      <c r="D48" s="1">
        <v>12</v>
      </c>
      <c r="E48" s="1">
        <v>0</v>
      </c>
      <c r="F48" s="1" t="s">
        <v>21</v>
      </c>
      <c r="G48" s="1">
        <v>12.58</v>
      </c>
      <c r="H48" s="1">
        <v>30.56</v>
      </c>
      <c r="I48" s="1">
        <v>62.3</v>
      </c>
      <c r="J48" s="1">
        <v>3.73</v>
      </c>
      <c r="K48" s="1">
        <v>0.57609999999999995</v>
      </c>
    </row>
    <row r="49" spans="1:11" x14ac:dyDescent="0.35">
      <c r="A49" s="4">
        <v>59</v>
      </c>
      <c r="B49" s="1" t="s">
        <v>150</v>
      </c>
      <c r="C49" s="24" t="s">
        <v>151</v>
      </c>
      <c r="D49" s="1" t="s">
        <v>145</v>
      </c>
      <c r="E49" s="1" t="s">
        <v>20</v>
      </c>
      <c r="F49" s="1" t="s">
        <v>396</v>
      </c>
      <c r="G49" s="1">
        <v>17.7</v>
      </c>
      <c r="H49" s="1">
        <v>28.68</v>
      </c>
      <c r="I49" s="1">
        <v>69.95</v>
      </c>
      <c r="J49" s="1">
        <v>3.87</v>
      </c>
      <c r="K49" s="1">
        <v>0.56179999999999997</v>
      </c>
    </row>
    <row r="50" spans="1:11" x14ac:dyDescent="0.35">
      <c r="A50" s="4">
        <v>61</v>
      </c>
      <c r="B50" s="1" t="s">
        <v>154</v>
      </c>
      <c r="C50" s="24" t="s">
        <v>155</v>
      </c>
      <c r="D50" s="1" t="s">
        <v>19</v>
      </c>
      <c r="E50" s="1" t="s">
        <v>156</v>
      </c>
      <c r="F50" s="1" t="s">
        <v>396</v>
      </c>
      <c r="G50" s="1">
        <v>10.84</v>
      </c>
      <c r="H50" s="1">
        <v>30.72</v>
      </c>
      <c r="I50" s="1">
        <v>53.04</v>
      </c>
      <c r="J50" s="1">
        <v>3.64</v>
      </c>
      <c r="K50" s="1">
        <v>0.57469999999999999</v>
      </c>
    </row>
    <row r="51" spans="1:11" x14ac:dyDescent="0.35">
      <c r="A51" s="4">
        <v>62</v>
      </c>
      <c r="B51" s="1" t="s">
        <v>157</v>
      </c>
      <c r="C51" s="24" t="s">
        <v>158</v>
      </c>
      <c r="D51" s="1" t="s">
        <v>19</v>
      </c>
      <c r="E51" s="1" t="s">
        <v>400</v>
      </c>
      <c r="F51" s="1" t="s">
        <v>396</v>
      </c>
      <c r="G51" s="1">
        <v>11.89</v>
      </c>
      <c r="H51" s="1">
        <v>30.77</v>
      </c>
      <c r="I51" s="1">
        <v>59.15</v>
      </c>
      <c r="J51" s="1">
        <v>3.62</v>
      </c>
      <c r="K51" s="1">
        <v>0.56810000000000005</v>
      </c>
    </row>
    <row r="52" spans="1:11" x14ac:dyDescent="0.35">
      <c r="A52" s="4">
        <v>63</v>
      </c>
      <c r="B52" s="1" t="s">
        <v>159</v>
      </c>
      <c r="C52" s="24" t="s">
        <v>160</v>
      </c>
      <c r="D52" s="1" t="s">
        <v>19</v>
      </c>
      <c r="E52" s="1" t="s">
        <v>156</v>
      </c>
      <c r="F52" s="1" t="s">
        <v>396</v>
      </c>
      <c r="G52" s="1">
        <v>15.35</v>
      </c>
      <c r="H52" s="1">
        <v>36.42</v>
      </c>
      <c r="I52" s="1">
        <v>66.84</v>
      </c>
      <c r="J52" s="1">
        <v>3.8</v>
      </c>
      <c r="K52" s="1">
        <v>0.55810000000000004</v>
      </c>
    </row>
    <row r="53" spans="1:11" x14ac:dyDescent="0.35">
      <c r="A53" s="4">
        <v>64</v>
      </c>
      <c r="B53" s="1" t="s">
        <v>161</v>
      </c>
      <c r="C53" s="24" t="s">
        <v>162</v>
      </c>
      <c r="D53" s="1" t="s">
        <v>19</v>
      </c>
      <c r="E53" s="1" t="s">
        <v>156</v>
      </c>
      <c r="F53" s="1" t="s">
        <v>396</v>
      </c>
      <c r="G53" s="1">
        <v>17.239999999999998</v>
      </c>
      <c r="H53" s="1">
        <v>38.159999999999997</v>
      </c>
      <c r="I53" s="1">
        <v>59.22</v>
      </c>
      <c r="J53" s="1">
        <v>4.18</v>
      </c>
      <c r="K53" s="1">
        <v>0.57110000000000005</v>
      </c>
    </row>
    <row r="54" spans="1:11" x14ac:dyDescent="0.35">
      <c r="A54" s="4">
        <v>66</v>
      </c>
      <c r="B54" s="1" t="s">
        <v>165</v>
      </c>
      <c r="C54" s="24" t="s">
        <v>166</v>
      </c>
      <c r="D54" s="1" t="s">
        <v>366</v>
      </c>
      <c r="E54" s="1" t="s">
        <v>156</v>
      </c>
      <c r="F54" s="1" t="s">
        <v>396</v>
      </c>
      <c r="G54" s="1">
        <v>17.88</v>
      </c>
      <c r="H54" s="1">
        <v>31.65</v>
      </c>
      <c r="I54" s="1">
        <v>64.59</v>
      </c>
      <c r="J54" s="1">
        <v>3.49</v>
      </c>
      <c r="K54" s="1">
        <v>0.56830000000000003</v>
      </c>
    </row>
    <row r="55" spans="1:11" x14ac:dyDescent="0.35">
      <c r="A55" s="4">
        <v>67</v>
      </c>
      <c r="B55" s="1" t="s">
        <v>167</v>
      </c>
      <c r="C55" s="24" t="s">
        <v>168</v>
      </c>
      <c r="D55" s="1" t="s">
        <v>366</v>
      </c>
      <c r="E55" s="1" t="s">
        <v>156</v>
      </c>
      <c r="F55" s="1" t="s">
        <v>21</v>
      </c>
      <c r="G55" s="1">
        <v>10.119999999999999</v>
      </c>
      <c r="H55" s="1">
        <v>26.89</v>
      </c>
      <c r="I55" s="1">
        <v>60</v>
      </c>
      <c r="J55" s="1">
        <v>3.75</v>
      </c>
      <c r="K55" s="1">
        <v>0.57909999999999995</v>
      </c>
    </row>
    <row r="56" spans="1:11" x14ac:dyDescent="0.35">
      <c r="A56" s="4">
        <v>68</v>
      </c>
      <c r="B56" s="1" t="s">
        <v>169</v>
      </c>
      <c r="C56" s="24" t="s">
        <v>170</v>
      </c>
      <c r="D56" s="1" t="s">
        <v>366</v>
      </c>
      <c r="E56" s="1" t="s">
        <v>156</v>
      </c>
      <c r="F56" s="1" t="s">
        <v>396</v>
      </c>
      <c r="G56" s="1">
        <v>12.06</v>
      </c>
      <c r="H56" s="1">
        <v>36.03</v>
      </c>
      <c r="I56" s="1">
        <v>60.35</v>
      </c>
      <c r="J56" s="1">
        <v>4.1900000000000004</v>
      </c>
      <c r="K56" s="1">
        <v>0.55930000000000002</v>
      </c>
    </row>
    <row r="57" spans="1:11" x14ac:dyDescent="0.35">
      <c r="A57" s="4">
        <v>69</v>
      </c>
      <c r="B57" s="1" t="s">
        <v>171</v>
      </c>
      <c r="C57" s="24" t="s">
        <v>172</v>
      </c>
      <c r="D57" s="1" t="s">
        <v>366</v>
      </c>
      <c r="E57" s="1" t="s">
        <v>156</v>
      </c>
      <c r="F57" s="1" t="s">
        <v>396</v>
      </c>
      <c r="G57" s="1">
        <v>7.82</v>
      </c>
      <c r="H57" s="1">
        <v>38.229999999999997</v>
      </c>
      <c r="I57" s="1">
        <v>50.89</v>
      </c>
      <c r="J57" s="1">
        <v>3.43</v>
      </c>
      <c r="K57" s="1">
        <v>0.56389999999999996</v>
      </c>
    </row>
    <row r="58" spans="1:11" x14ac:dyDescent="0.35">
      <c r="A58" s="4">
        <v>71</v>
      </c>
      <c r="B58" s="1" t="s">
        <v>175</v>
      </c>
      <c r="C58" s="24" t="s">
        <v>176</v>
      </c>
      <c r="D58" s="1" t="s">
        <v>46</v>
      </c>
      <c r="E58" s="1" t="s">
        <v>156</v>
      </c>
      <c r="F58" s="1" t="s">
        <v>396</v>
      </c>
      <c r="G58" s="1">
        <v>16.329999999999998</v>
      </c>
      <c r="H58" s="1">
        <v>23.95</v>
      </c>
      <c r="I58" s="1">
        <v>56.84</v>
      </c>
      <c r="J58" s="1">
        <v>4.01</v>
      </c>
      <c r="K58" s="1">
        <v>0.58030000000000004</v>
      </c>
    </row>
    <row r="59" spans="1:11" x14ac:dyDescent="0.35">
      <c r="A59" s="4">
        <v>72</v>
      </c>
      <c r="B59" s="1" t="s">
        <v>177</v>
      </c>
      <c r="C59" s="24" t="s">
        <v>178</v>
      </c>
      <c r="D59" s="1" t="s">
        <v>46</v>
      </c>
      <c r="E59" s="1" t="s">
        <v>156</v>
      </c>
      <c r="F59" s="1" t="s">
        <v>396</v>
      </c>
      <c r="G59" s="1">
        <v>11.5</v>
      </c>
      <c r="H59" s="1">
        <v>37.950000000000003</v>
      </c>
      <c r="I59" s="1">
        <v>54.36</v>
      </c>
      <c r="J59" s="1">
        <v>4.0199999999999996</v>
      </c>
      <c r="K59" s="1">
        <v>0.57789999999999997</v>
      </c>
    </row>
    <row r="60" spans="1:11" x14ac:dyDescent="0.35">
      <c r="A60" s="4">
        <v>73</v>
      </c>
      <c r="B60" s="1" t="s">
        <v>179</v>
      </c>
      <c r="C60" s="24" t="s">
        <v>180</v>
      </c>
      <c r="D60" s="1" t="s">
        <v>46</v>
      </c>
      <c r="E60" s="1"/>
      <c r="F60" s="1" t="s">
        <v>21</v>
      </c>
      <c r="G60" s="1">
        <v>23.13</v>
      </c>
      <c r="H60" s="1">
        <v>33.32</v>
      </c>
      <c r="I60" s="1">
        <v>67.72</v>
      </c>
      <c r="J60" s="1">
        <v>4.24</v>
      </c>
      <c r="K60" s="1">
        <v>0.5716</v>
      </c>
    </row>
    <row r="61" spans="1:11" x14ac:dyDescent="0.35">
      <c r="A61" s="4">
        <v>74</v>
      </c>
      <c r="B61" s="1" t="s">
        <v>181</v>
      </c>
      <c r="C61" s="24" t="s">
        <v>182</v>
      </c>
      <c r="D61" s="1"/>
      <c r="E61" s="1" t="s">
        <v>156</v>
      </c>
      <c r="F61" s="1" t="s">
        <v>396</v>
      </c>
      <c r="G61" s="1">
        <v>7.83</v>
      </c>
      <c r="H61" s="1">
        <v>32.659999999999997</v>
      </c>
      <c r="I61" s="1">
        <v>50.28</v>
      </c>
      <c r="J61" s="1">
        <v>3.84</v>
      </c>
      <c r="K61" s="1">
        <v>0.56979999999999997</v>
      </c>
    </row>
    <row r="62" spans="1:11" x14ac:dyDescent="0.35">
      <c r="A62" s="4">
        <v>76</v>
      </c>
      <c r="B62" s="1" t="s">
        <v>185</v>
      </c>
      <c r="C62" s="24" t="s">
        <v>186</v>
      </c>
      <c r="D62" s="1" t="s">
        <v>57</v>
      </c>
      <c r="E62" s="1" t="s">
        <v>156</v>
      </c>
      <c r="F62" s="1" t="s">
        <v>396</v>
      </c>
      <c r="G62" s="1">
        <v>12.23</v>
      </c>
      <c r="H62" s="1">
        <v>34.159999999999997</v>
      </c>
      <c r="I62" s="1">
        <v>55.9</v>
      </c>
      <c r="J62" s="1">
        <v>4.29</v>
      </c>
      <c r="K62" s="1">
        <v>0.57789999999999997</v>
      </c>
    </row>
    <row r="63" spans="1:11" x14ac:dyDescent="0.35">
      <c r="A63" s="4">
        <v>77</v>
      </c>
      <c r="B63" s="1" t="s">
        <v>187</v>
      </c>
      <c r="C63" s="24" t="s">
        <v>188</v>
      </c>
      <c r="D63" s="1" t="s">
        <v>57</v>
      </c>
      <c r="E63" s="1" t="s">
        <v>156</v>
      </c>
      <c r="F63" s="1" t="s">
        <v>399</v>
      </c>
      <c r="G63" s="1">
        <v>9.93</v>
      </c>
      <c r="H63" s="1">
        <v>29.36</v>
      </c>
      <c r="I63" s="1">
        <v>63.43</v>
      </c>
      <c r="J63" s="1">
        <v>3.8</v>
      </c>
      <c r="K63" s="1">
        <v>0.55869999999999997</v>
      </c>
    </row>
    <row r="64" spans="1:11" x14ac:dyDescent="0.35">
      <c r="A64" s="4">
        <v>78</v>
      </c>
      <c r="B64" s="1" t="s">
        <v>189</v>
      </c>
      <c r="C64" s="24" t="s">
        <v>190</v>
      </c>
      <c r="D64" s="1" t="s">
        <v>57</v>
      </c>
      <c r="E64" s="1" t="s">
        <v>156</v>
      </c>
      <c r="F64" s="1" t="s">
        <v>396</v>
      </c>
      <c r="G64" s="1">
        <v>9.5500000000000007</v>
      </c>
      <c r="H64" s="1">
        <v>35.36</v>
      </c>
      <c r="I64" s="1">
        <v>57.49</v>
      </c>
      <c r="J64" s="1">
        <v>4.32</v>
      </c>
      <c r="K64" s="1">
        <v>0.55879999999999996</v>
      </c>
    </row>
    <row r="65" spans="1:11" x14ac:dyDescent="0.35">
      <c r="A65" s="4">
        <v>79</v>
      </c>
      <c r="B65" s="1" t="s">
        <v>191</v>
      </c>
      <c r="C65" s="24" t="s">
        <v>192</v>
      </c>
      <c r="D65" s="1" t="s">
        <v>57</v>
      </c>
      <c r="E65" s="1" t="s">
        <v>156</v>
      </c>
      <c r="F65" s="1" t="s">
        <v>21</v>
      </c>
      <c r="G65" s="1">
        <v>8.0299999999999994</v>
      </c>
      <c r="H65" s="1">
        <v>33.96</v>
      </c>
      <c r="I65" s="1">
        <v>60.75</v>
      </c>
      <c r="J65" s="1">
        <v>4.2</v>
      </c>
      <c r="K65" s="1">
        <v>0.5746</v>
      </c>
    </row>
    <row r="66" spans="1:11" x14ac:dyDescent="0.35">
      <c r="A66" s="4">
        <v>81</v>
      </c>
      <c r="B66" s="1" t="s">
        <v>195</v>
      </c>
      <c r="C66" s="24" t="s">
        <v>196</v>
      </c>
      <c r="D66" s="1" t="s">
        <v>68</v>
      </c>
      <c r="E66" s="1" t="s">
        <v>156</v>
      </c>
      <c r="F66" s="1" t="s">
        <v>396</v>
      </c>
      <c r="G66" s="1">
        <v>10.97</v>
      </c>
      <c r="H66" s="1">
        <v>33.65</v>
      </c>
      <c r="I66" s="1">
        <v>55.96</v>
      </c>
      <c r="J66" s="1">
        <v>3.66</v>
      </c>
      <c r="K66" s="1">
        <v>0.56089999999999995</v>
      </c>
    </row>
    <row r="67" spans="1:11" x14ac:dyDescent="0.35">
      <c r="A67" s="4">
        <v>82</v>
      </c>
      <c r="B67" s="1" t="s">
        <v>197</v>
      </c>
      <c r="C67" s="24" t="s">
        <v>198</v>
      </c>
      <c r="D67" s="1" t="s">
        <v>68</v>
      </c>
      <c r="E67" s="1" t="s">
        <v>156</v>
      </c>
      <c r="F67" s="1" t="s">
        <v>396</v>
      </c>
      <c r="G67" s="1">
        <v>13.43</v>
      </c>
      <c r="H67" s="1">
        <v>34.72</v>
      </c>
      <c r="I67" s="1">
        <v>54.07</v>
      </c>
      <c r="J67" s="1">
        <v>3.63</v>
      </c>
      <c r="K67" s="1">
        <v>0.5696</v>
      </c>
    </row>
    <row r="68" spans="1:11" x14ac:dyDescent="0.35">
      <c r="A68" s="4">
        <v>83</v>
      </c>
      <c r="B68" s="1" t="s">
        <v>199</v>
      </c>
      <c r="C68" s="24" t="s">
        <v>200</v>
      </c>
      <c r="D68" s="1" t="s">
        <v>68</v>
      </c>
      <c r="E68" s="1" t="s">
        <v>156</v>
      </c>
      <c r="F68" s="1" t="s">
        <v>396</v>
      </c>
      <c r="G68" s="1">
        <v>13.3</v>
      </c>
      <c r="H68" s="1">
        <v>26.09</v>
      </c>
      <c r="I68" s="1">
        <v>52.21</v>
      </c>
      <c r="J68" s="1">
        <v>3.6</v>
      </c>
      <c r="K68" s="1">
        <v>0.55710000000000004</v>
      </c>
    </row>
    <row r="69" spans="1:11" x14ac:dyDescent="0.35">
      <c r="A69" s="4">
        <v>84</v>
      </c>
      <c r="B69" s="1" t="s">
        <v>201</v>
      </c>
      <c r="C69" s="24" t="s">
        <v>202</v>
      </c>
      <c r="D69" s="1" t="s">
        <v>68</v>
      </c>
      <c r="E69" s="1" t="s">
        <v>156</v>
      </c>
      <c r="F69" s="1" t="s">
        <v>396</v>
      </c>
      <c r="G69" s="1">
        <v>10.29</v>
      </c>
      <c r="H69" s="1">
        <v>38.54</v>
      </c>
      <c r="I69" s="1">
        <v>62.17</v>
      </c>
      <c r="J69" s="1">
        <v>4.13</v>
      </c>
      <c r="K69" s="1">
        <v>0.56100000000000005</v>
      </c>
    </row>
    <row r="70" spans="1:11" x14ac:dyDescent="0.35">
      <c r="A70" s="4">
        <v>86</v>
      </c>
      <c r="B70" s="1" t="s">
        <v>205</v>
      </c>
      <c r="C70" s="24" t="s">
        <v>206</v>
      </c>
      <c r="D70" s="1" t="s">
        <v>79</v>
      </c>
      <c r="E70" s="1"/>
      <c r="F70" s="1" t="s">
        <v>396</v>
      </c>
      <c r="G70" s="1">
        <v>14.55</v>
      </c>
      <c r="H70" s="1">
        <v>21.96</v>
      </c>
      <c r="I70" s="1">
        <v>53.28</v>
      </c>
      <c r="J70" s="1">
        <v>3.99</v>
      </c>
      <c r="K70" s="1">
        <v>0.56530000000000002</v>
      </c>
    </row>
    <row r="71" spans="1:11" x14ac:dyDescent="0.35">
      <c r="A71" s="4">
        <v>87</v>
      </c>
      <c r="B71" s="1" t="s">
        <v>207</v>
      </c>
      <c r="C71" s="24" t="s">
        <v>208</v>
      </c>
      <c r="D71" s="1" t="s">
        <v>79</v>
      </c>
      <c r="E71" s="1" t="s">
        <v>156</v>
      </c>
      <c r="F71" s="1" t="s">
        <v>21</v>
      </c>
      <c r="G71" s="1">
        <v>16.170000000000002</v>
      </c>
      <c r="H71" s="1">
        <v>31.91</v>
      </c>
      <c r="I71" s="1">
        <v>67.400000000000006</v>
      </c>
      <c r="J71" s="1">
        <v>3.64</v>
      </c>
      <c r="K71" s="1">
        <v>0.57050000000000001</v>
      </c>
    </row>
    <row r="72" spans="1:11" x14ac:dyDescent="0.35">
      <c r="A72" s="4">
        <v>88</v>
      </c>
      <c r="B72" s="1" t="s">
        <v>209</v>
      </c>
      <c r="C72" s="24" t="s">
        <v>210</v>
      </c>
      <c r="D72" s="1"/>
      <c r="E72" s="1"/>
      <c r="F72" s="1" t="s">
        <v>396</v>
      </c>
      <c r="G72" s="1">
        <v>17.32</v>
      </c>
      <c r="H72" s="1">
        <v>38.82</v>
      </c>
      <c r="I72" s="1">
        <v>56.72</v>
      </c>
      <c r="J72" s="1">
        <v>4.05</v>
      </c>
      <c r="K72" s="1">
        <v>0.5726</v>
      </c>
    </row>
    <row r="73" spans="1:11" x14ac:dyDescent="0.35">
      <c r="A73" s="4">
        <v>89</v>
      </c>
      <c r="B73" s="1" t="s">
        <v>211</v>
      </c>
      <c r="C73" s="24" t="s">
        <v>212</v>
      </c>
      <c r="D73" s="1" t="s">
        <v>79</v>
      </c>
      <c r="E73" s="1" t="s">
        <v>156</v>
      </c>
      <c r="F73" s="1" t="s">
        <v>396</v>
      </c>
      <c r="G73" s="1">
        <v>9.49</v>
      </c>
      <c r="H73" s="1">
        <v>24.8</v>
      </c>
      <c r="I73" s="1">
        <v>64.53</v>
      </c>
      <c r="J73" s="1">
        <v>3.56</v>
      </c>
      <c r="K73" s="1">
        <v>0.55679999999999996</v>
      </c>
    </row>
    <row r="74" spans="1:11" x14ac:dyDescent="0.35">
      <c r="A74" s="4">
        <v>91</v>
      </c>
      <c r="B74" s="1" t="s">
        <v>215</v>
      </c>
      <c r="C74" s="24" t="s">
        <v>216</v>
      </c>
      <c r="D74" s="1" t="s">
        <v>90</v>
      </c>
      <c r="E74" s="1" t="s">
        <v>156</v>
      </c>
      <c r="F74" s="1" t="s">
        <v>396</v>
      </c>
      <c r="G74" s="1">
        <v>14.93</v>
      </c>
      <c r="H74" s="1">
        <v>37.81</v>
      </c>
      <c r="I74" s="1">
        <v>59.35</v>
      </c>
      <c r="J74" s="1">
        <v>3.97</v>
      </c>
      <c r="K74" s="1">
        <v>0.57350000000000001</v>
      </c>
    </row>
    <row r="75" spans="1:11" x14ac:dyDescent="0.35">
      <c r="A75" s="4">
        <v>92</v>
      </c>
      <c r="B75" s="1" t="s">
        <v>217</v>
      </c>
      <c r="C75" s="24" t="s">
        <v>218</v>
      </c>
      <c r="D75" s="1" t="s">
        <v>90</v>
      </c>
      <c r="E75" s="1" t="s">
        <v>156</v>
      </c>
      <c r="F75" s="1"/>
      <c r="G75" s="1">
        <v>7.86</v>
      </c>
      <c r="H75" s="1">
        <v>23.99</v>
      </c>
      <c r="I75" s="1">
        <v>56.77</v>
      </c>
      <c r="J75" s="1">
        <v>4.1900000000000004</v>
      </c>
      <c r="K75" s="1">
        <v>0.57169999999999999</v>
      </c>
    </row>
    <row r="76" spans="1:11" x14ac:dyDescent="0.35">
      <c r="A76" s="4">
        <v>93</v>
      </c>
      <c r="B76" s="1" t="s">
        <v>219</v>
      </c>
      <c r="C76" s="24" t="s">
        <v>220</v>
      </c>
      <c r="D76" s="1" t="s">
        <v>90</v>
      </c>
      <c r="E76" s="1" t="s">
        <v>156</v>
      </c>
      <c r="F76" s="1" t="s">
        <v>396</v>
      </c>
      <c r="G76" s="1">
        <v>15.26</v>
      </c>
      <c r="H76" s="1">
        <v>33.6</v>
      </c>
      <c r="I76" s="1">
        <v>70.739999999999995</v>
      </c>
      <c r="J76" s="1">
        <v>3.93</v>
      </c>
      <c r="K76" s="1">
        <v>0.55669999999999997</v>
      </c>
    </row>
    <row r="77" spans="1:11" x14ac:dyDescent="0.35">
      <c r="A77" s="4">
        <v>94</v>
      </c>
      <c r="B77" s="1" t="s">
        <v>221</v>
      </c>
      <c r="C77" s="24" t="s">
        <v>222</v>
      </c>
      <c r="D77" s="1" t="s">
        <v>90</v>
      </c>
      <c r="E77" s="1" t="s">
        <v>156</v>
      </c>
      <c r="F77" s="1" t="s">
        <v>21</v>
      </c>
      <c r="G77" s="1">
        <v>10.87</v>
      </c>
      <c r="H77" s="1">
        <v>25.51</v>
      </c>
      <c r="I77" s="1">
        <v>52.01</v>
      </c>
      <c r="J77" s="1">
        <v>4.41</v>
      </c>
      <c r="K77" s="1">
        <v>0.57809999999999995</v>
      </c>
    </row>
    <row r="78" spans="1:11" x14ac:dyDescent="0.35">
      <c r="A78" s="4">
        <v>96</v>
      </c>
      <c r="B78" s="1" t="s">
        <v>225</v>
      </c>
      <c r="C78" s="24" t="s">
        <v>226</v>
      </c>
      <c r="D78" s="1" t="s">
        <v>101</v>
      </c>
      <c r="E78" s="1" t="s">
        <v>156</v>
      </c>
      <c r="F78" s="1" t="s">
        <v>21</v>
      </c>
      <c r="G78" s="1">
        <v>14.62</v>
      </c>
      <c r="H78" s="1">
        <v>29.85</v>
      </c>
      <c r="I78" s="1">
        <v>52.01</v>
      </c>
      <c r="J78" s="1">
        <v>3.77</v>
      </c>
      <c r="K78" s="1">
        <v>0.56599999999999995</v>
      </c>
    </row>
    <row r="79" spans="1:11" x14ac:dyDescent="0.35">
      <c r="A79" s="4">
        <v>97</v>
      </c>
      <c r="B79" s="1" t="s">
        <v>227</v>
      </c>
      <c r="C79" s="24" t="s">
        <v>228</v>
      </c>
      <c r="D79" s="1" t="s">
        <v>361</v>
      </c>
      <c r="E79" s="1" t="s">
        <v>156</v>
      </c>
      <c r="F79" s="1" t="s">
        <v>21</v>
      </c>
      <c r="G79" s="1">
        <v>10.96</v>
      </c>
      <c r="H79" s="1">
        <v>33.49</v>
      </c>
      <c r="I79" s="1">
        <v>56.34</v>
      </c>
      <c r="J79" s="1">
        <v>4.3899999999999997</v>
      </c>
      <c r="K79" s="1">
        <v>0.57750000000000001</v>
      </c>
    </row>
    <row r="80" spans="1:11" x14ac:dyDescent="0.35">
      <c r="A80" s="4">
        <v>98</v>
      </c>
      <c r="B80" s="1" t="s">
        <v>390</v>
      </c>
      <c r="C80" s="24" t="s">
        <v>230</v>
      </c>
      <c r="D80" s="1" t="s">
        <v>101</v>
      </c>
      <c r="E80" s="1" t="s">
        <v>156</v>
      </c>
      <c r="F80" s="1" t="s">
        <v>21</v>
      </c>
      <c r="G80" s="1">
        <v>10.77</v>
      </c>
      <c r="H80" s="1">
        <v>-26.82</v>
      </c>
      <c r="I80" s="1">
        <v>71.34</v>
      </c>
      <c r="J80" s="1">
        <v>3.82</v>
      </c>
      <c r="K80" s="1">
        <v>0.57040000000000002</v>
      </c>
    </row>
    <row r="81" spans="1:11" x14ac:dyDescent="0.35">
      <c r="A81" s="4">
        <v>99</v>
      </c>
      <c r="B81" s="1" t="s">
        <v>231</v>
      </c>
      <c r="C81" s="24" t="s">
        <v>232</v>
      </c>
      <c r="D81" s="1" t="s">
        <v>370</v>
      </c>
      <c r="E81" s="1" t="s">
        <v>156</v>
      </c>
      <c r="F81" s="1" t="s">
        <v>396</v>
      </c>
      <c r="G81" s="1">
        <v>13.51</v>
      </c>
      <c r="H81" s="1">
        <v>28.44</v>
      </c>
      <c r="I81" s="1">
        <v>54.13</v>
      </c>
      <c r="J81" s="1">
        <v>3.78</v>
      </c>
      <c r="K81" s="1">
        <v>0.57620000000000005</v>
      </c>
    </row>
    <row r="82" spans="1:11" x14ac:dyDescent="0.35">
      <c r="A82" s="4">
        <v>101</v>
      </c>
      <c r="B82" s="1" t="s">
        <v>235</v>
      </c>
      <c r="C82" s="24" t="s">
        <v>236</v>
      </c>
      <c r="D82" s="1" t="s">
        <v>112</v>
      </c>
      <c r="E82" s="1" t="s">
        <v>156</v>
      </c>
      <c r="F82" s="1" t="s">
        <v>396</v>
      </c>
      <c r="G82" s="1">
        <v>7.16</v>
      </c>
      <c r="H82" s="1">
        <v>28.34</v>
      </c>
      <c r="I82" s="1">
        <v>54.94</v>
      </c>
      <c r="J82" s="1">
        <v>4.28</v>
      </c>
      <c r="K82" s="1">
        <v>0.56069999999999998</v>
      </c>
    </row>
    <row r="83" spans="1:11" x14ac:dyDescent="0.35">
      <c r="A83" s="4">
        <v>102</v>
      </c>
      <c r="B83" s="1" t="s">
        <v>237</v>
      </c>
      <c r="C83" s="24" t="s">
        <v>238</v>
      </c>
      <c r="D83" s="1" t="s">
        <v>112</v>
      </c>
      <c r="E83" s="1" t="s">
        <v>156</v>
      </c>
      <c r="F83" s="1" t="s">
        <v>21</v>
      </c>
      <c r="G83" s="1">
        <v>8.85</v>
      </c>
      <c r="H83" s="1">
        <v>37.79</v>
      </c>
      <c r="I83" s="1">
        <v>56.42</v>
      </c>
      <c r="J83" s="1">
        <v>4.1399999999999997</v>
      </c>
      <c r="K83" s="1">
        <v>0.56799999999999995</v>
      </c>
    </row>
    <row r="84" spans="1:11" x14ac:dyDescent="0.35">
      <c r="A84" s="4">
        <v>103</v>
      </c>
      <c r="B84" s="1" t="s">
        <v>239</v>
      </c>
      <c r="C84" s="24" t="s">
        <v>240</v>
      </c>
      <c r="D84" s="1" t="s">
        <v>112</v>
      </c>
      <c r="E84" s="1" t="s">
        <v>156</v>
      </c>
      <c r="F84" s="1" t="s">
        <v>21</v>
      </c>
      <c r="G84" s="1">
        <v>12.48</v>
      </c>
      <c r="H84" s="1">
        <v>23.6</v>
      </c>
      <c r="I84" s="1">
        <v>54.19</v>
      </c>
      <c r="J84" s="1">
        <v>4.03</v>
      </c>
      <c r="K84" s="1">
        <v>0.57589999999999997</v>
      </c>
    </row>
    <row r="85" spans="1:11" x14ac:dyDescent="0.35">
      <c r="A85" s="4">
        <v>104</v>
      </c>
      <c r="B85" s="1" t="s">
        <v>241</v>
      </c>
      <c r="C85" s="24" t="s">
        <v>242</v>
      </c>
      <c r="D85" s="1" t="s">
        <v>112</v>
      </c>
      <c r="E85" s="1" t="s">
        <v>156</v>
      </c>
      <c r="F85" s="1" t="s">
        <v>396</v>
      </c>
      <c r="G85" s="1">
        <v>23.9</v>
      </c>
      <c r="H85" s="1">
        <v>36.380000000000003</v>
      </c>
      <c r="I85" s="1">
        <v>57.48</v>
      </c>
      <c r="J85" s="1">
        <v>4.2300000000000004</v>
      </c>
      <c r="K85" s="1">
        <v>0.56440000000000001</v>
      </c>
    </row>
    <row r="86" spans="1:11" x14ac:dyDescent="0.35">
      <c r="A86" s="4">
        <v>106</v>
      </c>
      <c r="B86" s="1" t="s">
        <v>245</v>
      </c>
      <c r="C86" s="24" t="s">
        <v>246</v>
      </c>
      <c r="D86" s="1" t="s">
        <v>123</v>
      </c>
      <c r="E86" s="1" t="s">
        <v>156</v>
      </c>
      <c r="F86" s="1" t="s">
        <v>396</v>
      </c>
      <c r="G86" s="1">
        <v>23.98</v>
      </c>
      <c r="H86" s="1">
        <v>33.549999999999997</v>
      </c>
      <c r="I86" s="1">
        <v>62.58</v>
      </c>
      <c r="J86" s="1">
        <v>3.65</v>
      </c>
      <c r="K86" s="1">
        <v>0.5766</v>
      </c>
    </row>
    <row r="87" spans="1:11" x14ac:dyDescent="0.35">
      <c r="A87" s="4">
        <v>107</v>
      </c>
      <c r="B87" s="1" t="s">
        <v>247</v>
      </c>
      <c r="C87" s="24" t="s">
        <v>248</v>
      </c>
      <c r="D87" s="1" t="s">
        <v>364</v>
      </c>
      <c r="E87" s="1" t="s">
        <v>156</v>
      </c>
      <c r="F87" s="1" t="s">
        <v>396</v>
      </c>
      <c r="G87" s="1">
        <v>16.739999999999998</v>
      </c>
      <c r="H87" s="1">
        <v>27.95</v>
      </c>
      <c r="I87" s="1">
        <v>64.599999999999994</v>
      </c>
      <c r="J87" s="1">
        <v>4.26</v>
      </c>
      <c r="K87" s="1">
        <v>0.55700000000000005</v>
      </c>
    </row>
    <row r="88" spans="1:11" x14ac:dyDescent="0.35">
      <c r="A88" s="4">
        <v>108</v>
      </c>
      <c r="B88" s="1" t="s">
        <v>249</v>
      </c>
      <c r="C88" s="24" t="s">
        <v>250</v>
      </c>
      <c r="D88" s="1" t="s">
        <v>123</v>
      </c>
      <c r="E88" s="1" t="s">
        <v>156</v>
      </c>
      <c r="F88" s="1" t="s">
        <v>21</v>
      </c>
      <c r="G88" s="1">
        <v>14.08</v>
      </c>
      <c r="H88" s="1">
        <v>36.65</v>
      </c>
      <c r="I88" s="1">
        <v>69.23</v>
      </c>
      <c r="J88" s="1">
        <v>3.86</v>
      </c>
      <c r="K88" s="1">
        <v>0.5706</v>
      </c>
    </row>
    <row r="89" spans="1:11" x14ac:dyDescent="0.35">
      <c r="A89" s="4">
        <v>109</v>
      </c>
      <c r="B89" s="1" t="s">
        <v>251</v>
      </c>
      <c r="C89" s="24" t="s">
        <v>252</v>
      </c>
      <c r="D89" s="1" t="s">
        <v>123</v>
      </c>
      <c r="E89" s="1" t="s">
        <v>156</v>
      </c>
      <c r="F89" s="1" t="s">
        <v>396</v>
      </c>
      <c r="G89" s="1">
        <v>11.92</v>
      </c>
      <c r="H89" s="1">
        <v>32.79</v>
      </c>
      <c r="I89" s="1">
        <v>53.4</v>
      </c>
      <c r="J89" s="1">
        <v>3.89</v>
      </c>
      <c r="K89" s="1">
        <v>0.58130000000000004</v>
      </c>
    </row>
    <row r="90" spans="1:11" x14ac:dyDescent="0.35">
      <c r="A90" s="4">
        <v>111</v>
      </c>
      <c r="B90" s="1" t="s">
        <v>389</v>
      </c>
      <c r="C90" s="24" t="s">
        <v>256</v>
      </c>
      <c r="D90" s="1" t="s">
        <v>134</v>
      </c>
      <c r="E90" s="1" t="s">
        <v>156</v>
      </c>
      <c r="F90" s="1"/>
      <c r="G90" s="1">
        <v>14.41</v>
      </c>
      <c r="H90" s="1">
        <v>25.23</v>
      </c>
      <c r="I90" s="1">
        <v>65.06</v>
      </c>
      <c r="J90" s="1">
        <v>3.7</v>
      </c>
      <c r="K90" s="1">
        <v>0.5635</v>
      </c>
    </row>
    <row r="91" spans="1:11" x14ac:dyDescent="0.35">
      <c r="A91" s="4">
        <v>112</v>
      </c>
      <c r="B91" s="1" t="s">
        <v>257</v>
      </c>
      <c r="C91" s="24" t="s">
        <v>258</v>
      </c>
      <c r="D91" s="1"/>
      <c r="E91" s="1" t="s">
        <v>156</v>
      </c>
      <c r="F91" s="1" t="s">
        <v>396</v>
      </c>
      <c r="G91" s="1">
        <v>22.3</v>
      </c>
      <c r="H91" s="1">
        <v>33.67</v>
      </c>
      <c r="I91" s="1">
        <v>52.21</v>
      </c>
      <c r="J91" s="1">
        <v>3.57</v>
      </c>
      <c r="K91" s="1">
        <v>0.56520000000000004</v>
      </c>
    </row>
    <row r="92" spans="1:11" x14ac:dyDescent="0.35">
      <c r="A92" s="4">
        <v>113</v>
      </c>
      <c r="B92" s="1" t="s">
        <v>259</v>
      </c>
      <c r="C92" s="24" t="s">
        <v>260</v>
      </c>
      <c r="D92" s="1" t="s">
        <v>134</v>
      </c>
      <c r="E92" s="1" t="s">
        <v>156</v>
      </c>
      <c r="F92" s="1" t="s">
        <v>396</v>
      </c>
      <c r="G92" s="1">
        <v>0</v>
      </c>
      <c r="H92" s="1">
        <v>28.75</v>
      </c>
      <c r="I92" s="1">
        <v>55.37</v>
      </c>
      <c r="J92" s="1">
        <v>3.83</v>
      </c>
      <c r="K92" s="1">
        <v>0.57440000000000002</v>
      </c>
    </row>
    <row r="93" spans="1:11" x14ac:dyDescent="0.35">
      <c r="A93" s="4">
        <v>114</v>
      </c>
      <c r="B93" s="1" t="s">
        <v>261</v>
      </c>
      <c r="C93" s="24" t="s">
        <v>262</v>
      </c>
      <c r="D93" s="1">
        <v>11</v>
      </c>
      <c r="E93" s="1" t="s">
        <v>156</v>
      </c>
      <c r="F93" s="1" t="s">
        <v>396</v>
      </c>
      <c r="G93" s="1">
        <v>14.31</v>
      </c>
      <c r="H93" s="1" t="s">
        <v>401</v>
      </c>
      <c r="I93" s="1">
        <v>65.03</v>
      </c>
      <c r="J93" s="1">
        <v>3.92</v>
      </c>
      <c r="K93" s="1">
        <v>0.57199999999999995</v>
      </c>
    </row>
    <row r="94" spans="1:11" x14ac:dyDescent="0.35">
      <c r="A94" s="4">
        <v>116</v>
      </c>
      <c r="B94" s="1" t="s">
        <v>265</v>
      </c>
      <c r="C94" s="24" t="s">
        <v>266</v>
      </c>
      <c r="D94" s="1" t="s">
        <v>368</v>
      </c>
      <c r="E94" s="1" t="s">
        <v>156</v>
      </c>
      <c r="F94" s="1" t="s">
        <v>396</v>
      </c>
      <c r="G94" s="1">
        <v>15.28</v>
      </c>
      <c r="H94" s="1">
        <v>29.22</v>
      </c>
      <c r="I94" s="1">
        <v>56.65</v>
      </c>
      <c r="J94" s="1">
        <v>4.45</v>
      </c>
      <c r="K94" s="1">
        <v>0.57850000000000001</v>
      </c>
    </row>
    <row r="95" spans="1:11" x14ac:dyDescent="0.35">
      <c r="A95" s="4">
        <v>117</v>
      </c>
      <c r="B95" s="1" t="s">
        <v>267</v>
      </c>
      <c r="C95" s="24" t="s">
        <v>268</v>
      </c>
      <c r="D95" s="1" t="s">
        <v>145</v>
      </c>
      <c r="E95" s="1" t="s">
        <v>156</v>
      </c>
      <c r="F95" s="1" t="s">
        <v>21</v>
      </c>
      <c r="G95" s="1">
        <v>11.31</v>
      </c>
      <c r="H95" s="1">
        <v>26.33</v>
      </c>
      <c r="I95" s="1">
        <v>65.38</v>
      </c>
      <c r="J95" s="1">
        <v>3.42</v>
      </c>
      <c r="K95" s="1">
        <v>0.5585</v>
      </c>
    </row>
    <row r="96" spans="1:11" x14ac:dyDescent="0.35">
      <c r="A96" s="4">
        <v>118</v>
      </c>
      <c r="B96" s="1" t="s">
        <v>269</v>
      </c>
      <c r="C96" s="24" t="s">
        <v>270</v>
      </c>
      <c r="D96" s="1" t="s">
        <v>145</v>
      </c>
      <c r="E96" s="1">
        <v>0</v>
      </c>
      <c r="F96" s="1" t="s">
        <v>396</v>
      </c>
      <c r="G96" s="1">
        <v>16.34</v>
      </c>
      <c r="H96" s="1">
        <v>38.520000000000003</v>
      </c>
      <c r="I96" s="1">
        <v>70.03</v>
      </c>
      <c r="J96" s="1">
        <v>4.18</v>
      </c>
      <c r="K96" s="1">
        <v>0.57799999999999996</v>
      </c>
    </row>
    <row r="97" spans="1:11" x14ac:dyDescent="0.35">
      <c r="A97" s="4">
        <v>119</v>
      </c>
      <c r="B97" s="1" t="s">
        <v>388</v>
      </c>
      <c r="C97" s="24" t="s">
        <v>272</v>
      </c>
      <c r="D97" s="1" t="s">
        <v>368</v>
      </c>
      <c r="E97" s="1" t="s">
        <v>156</v>
      </c>
      <c r="F97" s="1" t="s">
        <v>396</v>
      </c>
      <c r="G97" s="1">
        <v>9.76</v>
      </c>
      <c r="H97" s="1">
        <v>35.43</v>
      </c>
      <c r="I97" s="1">
        <v>54.82</v>
      </c>
      <c r="J97" s="1">
        <v>3.6</v>
      </c>
      <c r="K97" s="1">
        <v>0.56399999999999995</v>
      </c>
    </row>
    <row r="98" spans="1:11" x14ac:dyDescent="0.35">
      <c r="A98" s="4">
        <v>121</v>
      </c>
      <c r="B98" s="1" t="s">
        <v>275</v>
      </c>
      <c r="C98" s="24" t="s">
        <v>276</v>
      </c>
      <c r="D98" s="1" t="s">
        <v>19</v>
      </c>
      <c r="E98" s="1" t="s">
        <v>277</v>
      </c>
      <c r="F98" s="1" t="s">
        <v>21</v>
      </c>
      <c r="G98" s="1">
        <v>15.97</v>
      </c>
      <c r="H98" s="1">
        <v>24.16</v>
      </c>
      <c r="I98" s="1">
        <v>52.91</v>
      </c>
      <c r="J98" s="1">
        <v>3.97</v>
      </c>
      <c r="K98" s="1">
        <v>0.58130000000000004</v>
      </c>
    </row>
    <row r="99" spans="1:11" x14ac:dyDescent="0.35">
      <c r="A99" s="4">
        <v>122</v>
      </c>
      <c r="B99" s="1" t="s">
        <v>278</v>
      </c>
      <c r="C99" s="24" t="s">
        <v>279</v>
      </c>
      <c r="D99" s="1" t="s">
        <v>19</v>
      </c>
      <c r="E99" s="1" t="s">
        <v>277</v>
      </c>
      <c r="F99" s="1" t="s">
        <v>396</v>
      </c>
      <c r="G99" s="1">
        <v>16.97</v>
      </c>
      <c r="H99" s="1">
        <v>25.63</v>
      </c>
      <c r="I99" s="1">
        <v>68.14</v>
      </c>
      <c r="J99" s="1">
        <v>3.91</v>
      </c>
      <c r="K99" s="1">
        <v>0.57740000000000002</v>
      </c>
    </row>
    <row r="100" spans="1:11" x14ac:dyDescent="0.35">
      <c r="A100" s="4">
        <v>123</v>
      </c>
      <c r="B100" s="1" t="s">
        <v>280</v>
      </c>
      <c r="C100" s="24" t="s">
        <v>281</v>
      </c>
      <c r="D100" s="1" t="s">
        <v>19</v>
      </c>
      <c r="E100" s="1" t="s">
        <v>277</v>
      </c>
      <c r="F100" s="1" t="s">
        <v>396</v>
      </c>
      <c r="G100" s="1">
        <v>8.3800000000000008</v>
      </c>
      <c r="H100" s="1">
        <v>38.33</v>
      </c>
      <c r="I100" s="1">
        <v>53.1</v>
      </c>
      <c r="J100" s="1">
        <v>4.41</v>
      </c>
      <c r="K100" s="1">
        <v>0.5786</v>
      </c>
    </row>
    <row r="101" spans="1:11" x14ac:dyDescent="0.35">
      <c r="A101" s="4">
        <v>124</v>
      </c>
      <c r="B101" s="1" t="s">
        <v>282</v>
      </c>
      <c r="C101" s="24" t="s">
        <v>283</v>
      </c>
      <c r="D101" s="1" t="s">
        <v>19</v>
      </c>
      <c r="E101" s="1" t="s">
        <v>277</v>
      </c>
      <c r="F101" s="1" t="s">
        <v>398</v>
      </c>
      <c r="G101" s="1">
        <v>18.61</v>
      </c>
      <c r="H101" s="1">
        <v>35.479999999999997</v>
      </c>
      <c r="I101" s="1">
        <v>58.05</v>
      </c>
      <c r="J101" s="1">
        <v>4.2300000000000004</v>
      </c>
      <c r="K101" s="1">
        <v>0.55830000000000002</v>
      </c>
    </row>
    <row r="102" spans="1:11" x14ac:dyDescent="0.35">
      <c r="A102" s="4">
        <v>126</v>
      </c>
      <c r="B102" s="1" t="s">
        <v>377</v>
      </c>
      <c r="C102" s="24" t="s">
        <v>287</v>
      </c>
      <c r="D102" s="1" t="s">
        <v>366</v>
      </c>
      <c r="E102" s="1" t="s">
        <v>277</v>
      </c>
      <c r="F102" s="1" t="s">
        <v>396</v>
      </c>
      <c r="G102" s="1">
        <v>7.76</v>
      </c>
      <c r="H102" s="1">
        <v>35.83</v>
      </c>
      <c r="I102" s="1">
        <v>70.010000000000005</v>
      </c>
      <c r="J102" s="1">
        <v>3.72</v>
      </c>
      <c r="K102" s="1">
        <v>0.56779999999999997</v>
      </c>
    </row>
    <row r="103" spans="1:11" x14ac:dyDescent="0.35">
      <c r="A103" s="4">
        <v>127</v>
      </c>
      <c r="B103" s="1" t="s">
        <v>378</v>
      </c>
      <c r="C103" s="24" t="s">
        <v>289</v>
      </c>
      <c r="D103" s="1" t="s">
        <v>366</v>
      </c>
      <c r="E103" s="1" t="s">
        <v>277</v>
      </c>
      <c r="F103" s="1" t="s">
        <v>396</v>
      </c>
      <c r="G103" s="1">
        <v>10.65</v>
      </c>
      <c r="H103" s="1">
        <v>29.87</v>
      </c>
      <c r="I103" s="1">
        <v>52.14</v>
      </c>
      <c r="J103" s="1">
        <v>4.33</v>
      </c>
      <c r="K103" s="1">
        <v>0.56130000000000002</v>
      </c>
    </row>
    <row r="104" spans="1:11" x14ac:dyDescent="0.35">
      <c r="A104" s="4">
        <v>128</v>
      </c>
      <c r="B104" s="1" t="s">
        <v>290</v>
      </c>
      <c r="C104" s="24" t="s">
        <v>291</v>
      </c>
      <c r="D104" s="1" t="s">
        <v>366</v>
      </c>
      <c r="E104" s="1" t="s">
        <v>277</v>
      </c>
      <c r="F104" s="1" t="s">
        <v>396</v>
      </c>
      <c r="G104" s="1">
        <v>15.92</v>
      </c>
      <c r="H104" s="1">
        <v>38.03</v>
      </c>
      <c r="I104" s="1">
        <v>59.22</v>
      </c>
      <c r="J104" s="1">
        <v>4.18</v>
      </c>
      <c r="K104" s="1">
        <v>0.56169999999999998</v>
      </c>
    </row>
    <row r="105" spans="1:11" x14ac:dyDescent="0.35">
      <c r="A105" s="4">
        <v>129</v>
      </c>
      <c r="B105" s="1" t="s">
        <v>387</v>
      </c>
      <c r="C105" s="24" t="s">
        <v>293</v>
      </c>
      <c r="D105" s="1" t="s">
        <v>366</v>
      </c>
      <c r="E105" s="1" t="s">
        <v>277</v>
      </c>
      <c r="F105" s="1" t="s">
        <v>396</v>
      </c>
      <c r="G105" s="1">
        <v>12.87</v>
      </c>
      <c r="H105" s="1">
        <v>28.35</v>
      </c>
      <c r="I105" s="1">
        <v>70.930000000000007</v>
      </c>
      <c r="J105" s="1">
        <v>3.43</v>
      </c>
      <c r="K105" s="1">
        <v>0.56689999999999996</v>
      </c>
    </row>
    <row r="106" spans="1:11" x14ac:dyDescent="0.35">
      <c r="A106" s="4">
        <v>131</v>
      </c>
      <c r="B106" s="1" t="s">
        <v>296</v>
      </c>
      <c r="C106" s="24" t="s">
        <v>297</v>
      </c>
      <c r="D106" s="1" t="s">
        <v>46</v>
      </c>
      <c r="E106" s="1" t="s">
        <v>277</v>
      </c>
      <c r="F106" s="1" t="s">
        <v>396</v>
      </c>
      <c r="G106" s="1">
        <v>12.46</v>
      </c>
      <c r="H106" s="1">
        <v>32.93</v>
      </c>
      <c r="I106" s="1">
        <v>64.12</v>
      </c>
      <c r="J106" s="1">
        <v>4.03</v>
      </c>
      <c r="K106" s="1">
        <v>0.5585</v>
      </c>
    </row>
    <row r="107" spans="1:11" x14ac:dyDescent="0.35">
      <c r="A107" s="4">
        <v>132</v>
      </c>
      <c r="B107" s="1" t="s">
        <v>298</v>
      </c>
      <c r="C107" s="24" t="s">
        <v>299</v>
      </c>
      <c r="D107" s="1" t="s">
        <v>46</v>
      </c>
      <c r="E107" s="1" t="s">
        <v>277</v>
      </c>
      <c r="F107" s="1" t="s">
        <v>396</v>
      </c>
      <c r="G107" s="1">
        <v>8.51</v>
      </c>
      <c r="H107" s="1">
        <v>31.16</v>
      </c>
      <c r="I107" s="1">
        <v>51.51</v>
      </c>
      <c r="J107" s="1">
        <v>4.2</v>
      </c>
      <c r="K107" s="1">
        <v>0.56299999999999994</v>
      </c>
    </row>
    <row r="108" spans="1:11" x14ac:dyDescent="0.35">
      <c r="A108" s="4">
        <v>133</v>
      </c>
      <c r="B108" s="1" t="s">
        <v>386</v>
      </c>
      <c r="C108" s="24" t="s">
        <v>301</v>
      </c>
      <c r="D108" s="1" t="s">
        <v>46</v>
      </c>
      <c r="E108" s="1" t="s">
        <v>277</v>
      </c>
      <c r="F108" s="1" t="s">
        <v>396</v>
      </c>
      <c r="G108" s="1">
        <v>10.94</v>
      </c>
      <c r="H108" s="1">
        <v>23.66</v>
      </c>
      <c r="I108" s="1">
        <v>69.81</v>
      </c>
      <c r="J108" s="1">
        <v>3.4</v>
      </c>
      <c r="K108" s="1">
        <v>0.5786</v>
      </c>
    </row>
    <row r="109" spans="1:11" x14ac:dyDescent="0.35">
      <c r="A109" s="4">
        <v>134</v>
      </c>
      <c r="B109" s="1" t="s">
        <v>302</v>
      </c>
      <c r="C109" s="24" t="s">
        <v>303</v>
      </c>
      <c r="D109" s="1" t="s">
        <v>46</v>
      </c>
      <c r="E109" s="1" t="s">
        <v>277</v>
      </c>
      <c r="F109" s="1" t="s">
        <v>396</v>
      </c>
      <c r="G109" s="1">
        <v>10.01</v>
      </c>
      <c r="H109" s="1">
        <v>24.14</v>
      </c>
      <c r="I109" s="1">
        <v>64.540000000000006</v>
      </c>
      <c r="J109" s="1">
        <v>3.43</v>
      </c>
      <c r="K109" s="1">
        <v>0.55840000000000001</v>
      </c>
    </row>
    <row r="110" spans="1:11" x14ac:dyDescent="0.35">
      <c r="A110" s="4">
        <v>136</v>
      </c>
      <c r="B110" s="1" t="s">
        <v>306</v>
      </c>
      <c r="C110" s="24" t="s">
        <v>307</v>
      </c>
      <c r="D110" s="1" t="s">
        <v>57</v>
      </c>
      <c r="E110" s="1"/>
      <c r="F110" s="1" t="s">
        <v>396</v>
      </c>
      <c r="G110" s="1">
        <v>12.42</v>
      </c>
      <c r="H110" s="1">
        <v>24.99</v>
      </c>
      <c r="I110" s="1">
        <v>63.53</v>
      </c>
      <c r="J110" s="1">
        <v>4.16</v>
      </c>
      <c r="K110" s="1">
        <v>0.57979999999999998</v>
      </c>
    </row>
    <row r="111" spans="1:11" x14ac:dyDescent="0.35">
      <c r="A111" s="4">
        <v>137</v>
      </c>
      <c r="B111" s="1" t="s">
        <v>385</v>
      </c>
      <c r="C111" s="24" t="s">
        <v>309</v>
      </c>
      <c r="D111" s="1" t="s">
        <v>57</v>
      </c>
      <c r="E111" s="1" t="s">
        <v>277</v>
      </c>
      <c r="F111" s="1" t="s">
        <v>396</v>
      </c>
      <c r="G111" s="1">
        <v>14.72</v>
      </c>
      <c r="H111" s="1">
        <v>21.56</v>
      </c>
      <c r="I111" s="1">
        <v>71.97</v>
      </c>
      <c r="J111" s="1">
        <v>4.29</v>
      </c>
      <c r="K111" s="1">
        <v>0.56820000000000004</v>
      </c>
    </row>
    <row r="112" spans="1:11" x14ac:dyDescent="0.35">
      <c r="A112" s="4">
        <v>138</v>
      </c>
      <c r="B112" s="1" t="s">
        <v>310</v>
      </c>
      <c r="C112" s="24" t="s">
        <v>311</v>
      </c>
      <c r="D112" s="1" t="s">
        <v>57</v>
      </c>
      <c r="E112" s="1">
        <v>0</v>
      </c>
      <c r="F112" s="1" t="s">
        <v>396</v>
      </c>
      <c r="G112" s="1">
        <v>12.32</v>
      </c>
      <c r="H112" s="1">
        <v>37.19</v>
      </c>
      <c r="I112" s="1">
        <v>57.09</v>
      </c>
      <c r="J112" s="1">
        <v>3.56</v>
      </c>
      <c r="K112" s="1">
        <v>0.56100000000000005</v>
      </c>
    </row>
    <row r="113" spans="1:11" x14ac:dyDescent="0.35">
      <c r="A113" s="4">
        <v>139</v>
      </c>
      <c r="B113" s="1" t="s">
        <v>312</v>
      </c>
      <c r="C113" s="24" t="s">
        <v>313</v>
      </c>
      <c r="D113" s="1" t="s">
        <v>57</v>
      </c>
      <c r="E113" s="1" t="s">
        <v>277</v>
      </c>
      <c r="F113" s="1"/>
      <c r="G113" s="1">
        <v>15.55</v>
      </c>
      <c r="H113" s="1">
        <v>27.86</v>
      </c>
      <c r="I113" s="1">
        <v>63.14</v>
      </c>
      <c r="J113" s="1">
        <v>3.71</v>
      </c>
      <c r="K113" s="1">
        <v>0.57010000000000005</v>
      </c>
    </row>
    <row r="114" spans="1:11" x14ac:dyDescent="0.35">
      <c r="A114" s="4">
        <v>141</v>
      </c>
      <c r="B114" s="1" t="s">
        <v>316</v>
      </c>
      <c r="C114" s="24" t="s">
        <v>317</v>
      </c>
      <c r="D114" s="1" t="s">
        <v>68</v>
      </c>
      <c r="E114" s="1" t="s">
        <v>277</v>
      </c>
      <c r="F114" s="1" t="s">
        <v>396</v>
      </c>
      <c r="G114" s="1">
        <v>11.99</v>
      </c>
      <c r="H114" s="1">
        <v>22.71</v>
      </c>
      <c r="I114" s="1">
        <v>59.39</v>
      </c>
      <c r="J114" s="1">
        <v>4.0999999999999996</v>
      </c>
      <c r="K114" s="1">
        <v>0.56699999999999995</v>
      </c>
    </row>
    <row r="115" spans="1:11" x14ac:dyDescent="0.35">
      <c r="A115" s="4">
        <v>142</v>
      </c>
      <c r="B115" s="1" t="s">
        <v>318</v>
      </c>
      <c r="C115" s="24" t="s">
        <v>319</v>
      </c>
      <c r="D115" s="1" t="s">
        <v>68</v>
      </c>
      <c r="E115" s="1" t="s">
        <v>277</v>
      </c>
      <c r="F115" s="1" t="s">
        <v>396</v>
      </c>
      <c r="G115" s="1">
        <v>7.81</v>
      </c>
      <c r="H115" s="1">
        <v>35.97</v>
      </c>
      <c r="I115" s="1">
        <v>52.05</v>
      </c>
      <c r="J115" s="1">
        <v>3.5</v>
      </c>
      <c r="K115" s="1">
        <v>0.57569999999999999</v>
      </c>
    </row>
    <row r="116" spans="1:11" x14ac:dyDescent="0.35">
      <c r="A116" s="4">
        <v>143</v>
      </c>
      <c r="B116" s="1" t="s">
        <v>320</v>
      </c>
      <c r="C116" s="24" t="s">
        <v>321</v>
      </c>
      <c r="D116" s="1" t="s">
        <v>68</v>
      </c>
      <c r="E116" s="1"/>
      <c r="F116" s="1" t="s">
        <v>396</v>
      </c>
      <c r="G116" s="1">
        <v>14.04</v>
      </c>
      <c r="H116" s="1">
        <v>0</v>
      </c>
      <c r="I116" s="1">
        <v>57.25</v>
      </c>
      <c r="J116" s="1">
        <v>3.53</v>
      </c>
      <c r="K116" s="1">
        <v>0.5665</v>
      </c>
    </row>
    <row r="117" spans="1:11" x14ac:dyDescent="0.35">
      <c r="A117" s="4">
        <v>144</v>
      </c>
      <c r="B117" s="1" t="s">
        <v>322</v>
      </c>
      <c r="C117" s="24" t="s">
        <v>323</v>
      </c>
      <c r="D117" s="1" t="s">
        <v>68</v>
      </c>
      <c r="E117" s="1" t="s">
        <v>277</v>
      </c>
      <c r="F117" s="1" t="s">
        <v>396</v>
      </c>
      <c r="G117" s="1">
        <v>17.420000000000002</v>
      </c>
      <c r="H117" s="1">
        <v>33.979999999999997</v>
      </c>
      <c r="I117" s="1">
        <v>71.3</v>
      </c>
      <c r="J117" s="1">
        <v>4.03</v>
      </c>
      <c r="K117" s="1">
        <v>0.56640000000000001</v>
      </c>
    </row>
    <row r="118" spans="1:11" x14ac:dyDescent="0.35">
      <c r="A118" s="4">
        <v>146</v>
      </c>
      <c r="B118" s="1" t="s">
        <v>326</v>
      </c>
      <c r="C118" s="24" t="s">
        <v>327</v>
      </c>
      <c r="D118" s="1" t="s">
        <v>79</v>
      </c>
      <c r="E118" s="1" t="s">
        <v>277</v>
      </c>
      <c r="F118" s="1" t="s">
        <v>396</v>
      </c>
      <c r="G118" s="1">
        <v>16.82</v>
      </c>
      <c r="H118" s="1">
        <v>32.04</v>
      </c>
      <c r="I118" s="1">
        <v>64.14</v>
      </c>
      <c r="J118" s="1">
        <v>3.43</v>
      </c>
      <c r="K118" s="1">
        <v>0.58030000000000004</v>
      </c>
    </row>
    <row r="119" spans="1:11" x14ac:dyDescent="0.35">
      <c r="A119" s="4">
        <v>147</v>
      </c>
      <c r="B119" s="1" t="s">
        <v>328</v>
      </c>
      <c r="C119" s="24" t="s">
        <v>329</v>
      </c>
      <c r="D119" s="1" t="s">
        <v>79</v>
      </c>
      <c r="E119" s="1" t="s">
        <v>277</v>
      </c>
      <c r="F119" s="1" t="s">
        <v>396</v>
      </c>
      <c r="G119" s="1">
        <v>9.16</v>
      </c>
      <c r="H119" s="1">
        <v>33.65</v>
      </c>
      <c r="I119" s="1">
        <v>56.8</v>
      </c>
      <c r="J119" s="1">
        <v>3.76</v>
      </c>
      <c r="K119" s="1">
        <v>0.55810000000000004</v>
      </c>
    </row>
    <row r="120" spans="1:11" x14ac:dyDescent="0.35">
      <c r="A120" s="4">
        <v>148</v>
      </c>
      <c r="B120" s="1" t="s">
        <v>330</v>
      </c>
      <c r="C120" s="24" t="s">
        <v>331</v>
      </c>
      <c r="D120" s="1" t="s">
        <v>79</v>
      </c>
      <c r="E120" s="1"/>
      <c r="F120" s="1" t="s">
        <v>396</v>
      </c>
      <c r="G120" s="1">
        <v>11.81</v>
      </c>
      <c r="H120" s="1">
        <v>23.55</v>
      </c>
      <c r="I120" s="1">
        <v>63.93</v>
      </c>
      <c r="J120" s="1">
        <v>3.43</v>
      </c>
      <c r="K120" s="1">
        <v>0.57589999999999997</v>
      </c>
    </row>
    <row r="121" spans="1:11" x14ac:dyDescent="0.35">
      <c r="A121" s="4">
        <v>149</v>
      </c>
      <c r="B121" s="1" t="s">
        <v>384</v>
      </c>
      <c r="C121" s="24" t="s">
        <v>333</v>
      </c>
      <c r="D121" s="1">
        <v>6</v>
      </c>
      <c r="E121" s="1" t="s">
        <v>277</v>
      </c>
      <c r="F121" s="1" t="s">
        <v>396</v>
      </c>
      <c r="G121" s="1">
        <v>11.09</v>
      </c>
      <c r="H121" s="1">
        <v>27.66</v>
      </c>
      <c r="I121" s="1">
        <v>65.88</v>
      </c>
      <c r="J121" s="1">
        <v>4.22</v>
      </c>
      <c r="K121" s="1">
        <v>0.5716</v>
      </c>
    </row>
    <row r="122" spans="1:11" x14ac:dyDescent="0.35">
      <c r="A122" s="25">
        <v>150</v>
      </c>
      <c r="B122" s="25" t="s">
        <v>383</v>
      </c>
      <c r="C122" s="25" t="s">
        <v>376</v>
      </c>
      <c r="D122" s="25" t="s">
        <v>79</v>
      </c>
      <c r="E122" s="25" t="s">
        <v>277</v>
      </c>
      <c r="F122" s="25" t="s">
        <v>32</v>
      </c>
      <c r="G122" s="25">
        <v>0.21</v>
      </c>
      <c r="H122" s="25">
        <v>40.33</v>
      </c>
      <c r="I122" s="25">
        <v>59.72</v>
      </c>
      <c r="J122" s="25">
        <v>3.11</v>
      </c>
      <c r="K122" s="25">
        <v>0.57020000000000004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51"/>
  <sheetViews>
    <sheetView topLeftCell="C1" zoomScale="90" zoomScaleNormal="90" workbookViewId="0">
      <pane ySplit="1" topLeftCell="A2" activePane="bottomLeft" state="frozen"/>
      <selection pane="bottomLeft" activeCell="C1" sqref="C1:N27"/>
    </sheetView>
  </sheetViews>
  <sheetFormatPr defaultRowHeight="14.5" x14ac:dyDescent="0.35"/>
  <cols>
    <col min="1" max="1" width="3.453125" customWidth="1"/>
    <col min="2" max="2" width="22" customWidth="1"/>
    <col min="3" max="3" width="17.08984375" customWidth="1"/>
    <col min="4" max="4" width="13.453125" customWidth="1"/>
    <col min="5" max="5" width="16.26953125" customWidth="1"/>
    <col min="6" max="6" width="17.1796875" customWidth="1"/>
    <col min="7" max="7" width="13.81640625" customWidth="1"/>
    <col min="8" max="8" width="14.453125" customWidth="1"/>
    <col min="9" max="9" width="15.81640625" customWidth="1"/>
    <col min="10" max="10" width="29.36328125" customWidth="1"/>
    <col min="11" max="11" width="15.6328125" customWidth="1"/>
    <col min="12" max="12" width="13.1796875" customWidth="1"/>
    <col min="13" max="13" width="14.54296875" customWidth="1"/>
    <col min="14" max="14" width="13.81640625" customWidth="1"/>
    <col min="15" max="15" width="22.54296875" customWidth="1"/>
    <col min="16" max="16" width="20.1796875" customWidth="1"/>
    <col min="17" max="17" width="14.36328125" customWidth="1"/>
    <col min="18" max="18" width="20.6328125" customWidth="1"/>
    <col min="19" max="19" width="20.36328125" customWidth="1"/>
    <col min="20" max="20" width="20.08984375" customWidth="1"/>
    <col min="21" max="21" width="27.1796875" customWidth="1"/>
    <col min="22" max="22" width="15.6328125" customWidth="1"/>
  </cols>
  <sheetData>
    <row r="1" spans="1:22" ht="13" customHeight="1" x14ac:dyDescent="0.35">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9" t="s">
        <v>16</v>
      </c>
      <c r="R1" s="8" t="s">
        <v>341</v>
      </c>
      <c r="S1" s="8" t="s">
        <v>342</v>
      </c>
      <c r="T1" s="8" t="s">
        <v>343</v>
      </c>
      <c r="U1" s="8" t="s">
        <v>344</v>
      </c>
      <c r="V1" s="8" t="s">
        <v>345</v>
      </c>
    </row>
    <row r="2" spans="1:22" x14ac:dyDescent="0.35">
      <c r="A2" s="4">
        <v>1</v>
      </c>
      <c r="B2" s="1" t="s">
        <v>17</v>
      </c>
      <c r="C2" s="1" t="s">
        <v>18</v>
      </c>
      <c r="D2" s="1" t="s">
        <v>19</v>
      </c>
      <c r="E2" s="1" t="s">
        <v>20</v>
      </c>
      <c r="F2" s="1" t="s">
        <v>21</v>
      </c>
      <c r="G2" s="1">
        <v>9.94</v>
      </c>
      <c r="H2" s="1">
        <v>23.51</v>
      </c>
      <c r="I2" s="1">
        <v>52.25</v>
      </c>
      <c r="J2" s="1">
        <v>4.18</v>
      </c>
      <c r="K2" s="1">
        <v>0.5554</v>
      </c>
      <c r="L2" s="2" t="s">
        <v>22</v>
      </c>
      <c r="M2" s="2" t="s">
        <v>22</v>
      </c>
      <c r="N2" s="2" t="s">
        <v>22</v>
      </c>
      <c r="O2" s="2" t="s">
        <v>22</v>
      </c>
      <c r="P2" s="3" t="s">
        <v>23</v>
      </c>
      <c r="Q2" s="5" t="s">
        <v>23</v>
      </c>
      <c r="R2" s="17">
        <f>--(Table1[[#This Row],[Propane P/F]]="FAIL")</f>
        <v>0</v>
      </c>
      <c r="S2" s="17">
        <f>--(Table1[[#This Row],[Isobutane P/F]]="FAIL")</f>
        <v>0</v>
      </c>
      <c r="T2" s="18">
        <f>--(Table1[[#This Row],[n-Butane P/F]]="FAIL")</f>
        <v>0</v>
      </c>
      <c r="U2" s="18">
        <f>--(Table1[[#This Row],[VP P/F]]="FAIL")</f>
        <v>0</v>
      </c>
      <c r="V2" s="18">
        <f>--(Table1[[#This Row],[Density P/F]]="FAIL")</f>
        <v>1</v>
      </c>
    </row>
    <row r="3" spans="1:22" x14ac:dyDescent="0.35">
      <c r="A3" s="4">
        <v>2</v>
      </c>
      <c r="B3" s="1" t="s">
        <v>24</v>
      </c>
      <c r="C3" s="1" t="s">
        <v>25</v>
      </c>
      <c r="D3" s="1" t="s">
        <v>19</v>
      </c>
      <c r="E3" s="1" t="s">
        <v>20</v>
      </c>
      <c r="F3" s="1" t="s">
        <v>21</v>
      </c>
      <c r="G3" s="1">
        <v>9.7899999999999991</v>
      </c>
      <c r="H3" s="1">
        <v>31.84</v>
      </c>
      <c r="I3" s="1">
        <v>62.35</v>
      </c>
      <c r="J3" s="1">
        <v>4.1500000000000004</v>
      </c>
      <c r="K3" s="1">
        <v>0.57479999999999998</v>
      </c>
      <c r="L3" s="2" t="s">
        <v>22</v>
      </c>
      <c r="M3" s="2" t="s">
        <v>22</v>
      </c>
      <c r="N3" s="2" t="s">
        <v>22</v>
      </c>
      <c r="O3" s="2" t="s">
        <v>22</v>
      </c>
      <c r="P3" s="2" t="s">
        <v>22</v>
      </c>
      <c r="Q3" s="6" t="s">
        <v>22</v>
      </c>
      <c r="R3" s="2">
        <f>--(Table1[[#This Row],[Propane P/F]]="FAIL")</f>
        <v>0</v>
      </c>
      <c r="S3" s="2">
        <f>--(Table1[[#This Row],[Isobutane P/F]]="FAIL")</f>
        <v>0</v>
      </c>
      <c r="T3" s="18">
        <f>--(Table1[[#This Row],[n-Butane P/F]]="FAIL")</f>
        <v>0</v>
      </c>
      <c r="U3" s="18">
        <f>--(Table1[[#This Row],[VP P/F]]="FAIL")</f>
        <v>0</v>
      </c>
      <c r="V3" s="18">
        <f>--(Table1[[#This Row],[Density P/F]]="FAIL")</f>
        <v>0</v>
      </c>
    </row>
    <row r="4" spans="1:22" x14ac:dyDescent="0.35">
      <c r="A4" s="4">
        <v>3</v>
      </c>
      <c r="B4" s="1" t="s">
        <v>26</v>
      </c>
      <c r="C4" s="1" t="s">
        <v>27</v>
      </c>
      <c r="D4" s="1" t="s">
        <v>19</v>
      </c>
      <c r="E4" s="1" t="s">
        <v>20</v>
      </c>
      <c r="F4" s="1" t="s">
        <v>21</v>
      </c>
      <c r="G4" s="1">
        <v>10.34</v>
      </c>
      <c r="H4" s="1">
        <v>36.65</v>
      </c>
      <c r="I4" s="1">
        <v>66.69</v>
      </c>
      <c r="J4" s="1">
        <v>3.57</v>
      </c>
      <c r="K4" s="1">
        <v>0.56810000000000005</v>
      </c>
      <c r="L4" s="2" t="s">
        <v>22</v>
      </c>
      <c r="M4" s="2" t="s">
        <v>22</v>
      </c>
      <c r="N4" s="2" t="s">
        <v>22</v>
      </c>
      <c r="O4" s="2" t="s">
        <v>22</v>
      </c>
      <c r="P4" s="2" t="s">
        <v>22</v>
      </c>
      <c r="Q4" s="6" t="s">
        <v>22</v>
      </c>
      <c r="R4" s="2">
        <f>--(Table1[[#This Row],[Propane P/F]]="FAIL")</f>
        <v>0</v>
      </c>
      <c r="S4" s="2">
        <f>--(Table1[[#This Row],[Isobutane P/F]]="FAIL")</f>
        <v>0</v>
      </c>
      <c r="T4" s="18">
        <f>--(Table1[[#This Row],[n-Butane P/F]]="FAIL")</f>
        <v>0</v>
      </c>
      <c r="U4" s="18">
        <f>--(Table1[[#This Row],[VP P/F]]="FAIL")</f>
        <v>0</v>
      </c>
      <c r="V4" s="18">
        <f>--(Table1[[#This Row],[Density P/F]]="FAIL")</f>
        <v>0</v>
      </c>
    </row>
    <row r="5" spans="1:22" x14ac:dyDescent="0.35">
      <c r="A5" s="4">
        <v>4</v>
      </c>
      <c r="B5" s="1" t="s">
        <v>28</v>
      </c>
      <c r="C5" s="1" t="s">
        <v>29</v>
      </c>
      <c r="D5" s="1" t="s">
        <v>19</v>
      </c>
      <c r="E5" s="1" t="s">
        <v>20</v>
      </c>
      <c r="F5" s="1" t="s">
        <v>21</v>
      </c>
      <c r="G5" s="1">
        <v>16.16</v>
      </c>
      <c r="H5" s="1">
        <v>22.84</v>
      </c>
      <c r="I5" s="1">
        <v>58.36</v>
      </c>
      <c r="J5" s="1">
        <v>3.78</v>
      </c>
      <c r="K5" s="1">
        <v>0.55679999999999996</v>
      </c>
      <c r="L5" s="2" t="s">
        <v>22</v>
      </c>
      <c r="M5" s="2" t="s">
        <v>22</v>
      </c>
      <c r="N5" s="2" t="s">
        <v>22</v>
      </c>
      <c r="O5" s="2" t="s">
        <v>22</v>
      </c>
      <c r="P5" s="3" t="s">
        <v>23</v>
      </c>
      <c r="Q5" s="5" t="s">
        <v>23</v>
      </c>
      <c r="R5" s="2">
        <f>--(Table1[[#This Row],[Propane P/F]]="FAIL")</f>
        <v>0</v>
      </c>
      <c r="S5" s="2">
        <f>--(Table1[[#This Row],[Isobutane P/F]]="FAIL")</f>
        <v>0</v>
      </c>
      <c r="T5" s="18">
        <f>--(Table1[[#This Row],[n-Butane P/F]]="FAIL")</f>
        <v>0</v>
      </c>
      <c r="U5" s="18">
        <f>--(Table1[[#This Row],[VP P/F]]="FAIL")</f>
        <v>0</v>
      </c>
      <c r="V5" s="18">
        <f>--(Table1[[#This Row],[Density P/F]]="FAIL")</f>
        <v>1</v>
      </c>
    </row>
    <row r="6" spans="1:22" hidden="1" x14ac:dyDescent="0.35">
      <c r="A6" s="4">
        <v>5</v>
      </c>
      <c r="B6" s="1" t="s">
        <v>30</v>
      </c>
      <c r="C6" s="1" t="s">
        <v>31</v>
      </c>
      <c r="D6" s="1" t="s">
        <v>19</v>
      </c>
      <c r="E6" s="1" t="s">
        <v>20</v>
      </c>
      <c r="F6" s="1" t="s">
        <v>32</v>
      </c>
      <c r="G6" s="1">
        <v>0.27</v>
      </c>
      <c r="H6" s="1">
        <v>43.38</v>
      </c>
      <c r="I6" s="1">
        <v>54.71</v>
      </c>
      <c r="J6" s="1">
        <v>3.02</v>
      </c>
      <c r="K6" s="1">
        <v>0.58009999999999995</v>
      </c>
      <c r="L6" s="2" t="s">
        <v>22</v>
      </c>
      <c r="M6" s="2" t="s">
        <v>22</v>
      </c>
      <c r="N6" s="2" t="s">
        <v>22</v>
      </c>
      <c r="O6" s="2" t="s">
        <v>22</v>
      </c>
      <c r="P6" s="2" t="s">
        <v>22</v>
      </c>
      <c r="Q6" s="6" t="s">
        <v>22</v>
      </c>
      <c r="R6" s="2">
        <f>--(Table1[[#This Row],[Propane P/F]]="FAIL")</f>
        <v>0</v>
      </c>
      <c r="S6" s="2">
        <f>--(Table1[[#This Row],[Isobutane P/F]]="FAIL")</f>
        <v>0</v>
      </c>
      <c r="T6" s="18">
        <f>--(Table1[[#This Row],[n-Butane P/F]]="FAIL")</f>
        <v>0</v>
      </c>
      <c r="U6" s="18">
        <f>--(Table1[[#This Row],[VP P/F]]="FAIL")</f>
        <v>0</v>
      </c>
      <c r="V6" s="18">
        <f>--(Table1[[#This Row],[Density P/F]]="FAIL")</f>
        <v>0</v>
      </c>
    </row>
    <row r="7" spans="1:22" x14ac:dyDescent="0.35">
      <c r="A7" s="4">
        <v>6</v>
      </c>
      <c r="B7" s="1" t="s">
        <v>33</v>
      </c>
      <c r="C7" s="1" t="s">
        <v>34</v>
      </c>
      <c r="D7" s="1" t="s">
        <v>35</v>
      </c>
      <c r="E7" s="1" t="s">
        <v>20</v>
      </c>
      <c r="F7" s="1" t="s">
        <v>21</v>
      </c>
      <c r="G7" s="1">
        <v>9.73</v>
      </c>
      <c r="H7" s="1">
        <v>26.21</v>
      </c>
      <c r="I7" s="1">
        <v>51.76</v>
      </c>
      <c r="J7" s="1">
        <v>3.64</v>
      </c>
      <c r="K7" s="1">
        <v>0.56040000000000001</v>
      </c>
      <c r="L7" s="2" t="s">
        <v>22</v>
      </c>
      <c r="M7" s="2" t="s">
        <v>22</v>
      </c>
      <c r="N7" s="2" t="s">
        <v>22</v>
      </c>
      <c r="O7" s="2" t="s">
        <v>22</v>
      </c>
      <c r="P7" s="2" t="s">
        <v>22</v>
      </c>
      <c r="Q7" s="6" t="s">
        <v>22</v>
      </c>
      <c r="R7" s="2">
        <f>--(Table1[[#This Row],[Propane P/F]]="FAIL")</f>
        <v>0</v>
      </c>
      <c r="S7" s="2">
        <f>--(Table1[[#This Row],[Isobutane P/F]]="FAIL")</f>
        <v>0</v>
      </c>
      <c r="T7" s="18">
        <f>--(Table1[[#This Row],[n-Butane P/F]]="FAIL")</f>
        <v>0</v>
      </c>
      <c r="U7" s="18">
        <f>--(Table1[[#This Row],[VP P/F]]="FAIL")</f>
        <v>0</v>
      </c>
      <c r="V7" s="18">
        <f>--(Table1[[#This Row],[Density P/F]]="FAIL")</f>
        <v>0</v>
      </c>
    </row>
    <row r="8" spans="1:22" x14ac:dyDescent="0.35">
      <c r="A8" s="4">
        <v>7</v>
      </c>
      <c r="B8" s="1" t="s">
        <v>36</v>
      </c>
      <c r="C8" s="1" t="s">
        <v>37</v>
      </c>
      <c r="D8" s="1" t="s">
        <v>35</v>
      </c>
      <c r="E8" s="1" t="s">
        <v>20</v>
      </c>
      <c r="F8" s="1" t="s">
        <v>21</v>
      </c>
      <c r="G8" s="1">
        <v>11.38</v>
      </c>
      <c r="H8" s="1">
        <v>27.66</v>
      </c>
      <c r="I8" s="1">
        <v>54.61</v>
      </c>
      <c r="J8" s="1">
        <v>3.68</v>
      </c>
      <c r="K8" s="1">
        <v>0.58050000000000002</v>
      </c>
      <c r="L8" s="2" t="s">
        <v>22</v>
      </c>
      <c r="M8" s="2" t="s">
        <v>22</v>
      </c>
      <c r="N8" s="2" t="s">
        <v>22</v>
      </c>
      <c r="O8" s="2" t="s">
        <v>22</v>
      </c>
      <c r="P8" s="3" t="s">
        <v>23</v>
      </c>
      <c r="Q8" s="5" t="s">
        <v>23</v>
      </c>
      <c r="R8" s="2">
        <f>--(Table1[[#This Row],[Propane P/F]]="FAIL")</f>
        <v>0</v>
      </c>
      <c r="S8" s="2">
        <f>--(Table1[[#This Row],[Isobutane P/F]]="FAIL")</f>
        <v>0</v>
      </c>
      <c r="T8" s="18">
        <f>--(Table1[[#This Row],[n-Butane P/F]]="FAIL")</f>
        <v>0</v>
      </c>
      <c r="U8" s="18">
        <f>--(Table1[[#This Row],[VP P/F]]="FAIL")</f>
        <v>0</v>
      </c>
      <c r="V8" s="18">
        <f>--(Table1[[#This Row],[Density P/F]]="FAIL")</f>
        <v>1</v>
      </c>
    </row>
    <row r="9" spans="1:22" x14ac:dyDescent="0.35">
      <c r="A9" s="4">
        <v>8</v>
      </c>
      <c r="B9" s="1" t="s">
        <v>38</v>
      </c>
      <c r="C9" s="1" t="s">
        <v>39</v>
      </c>
      <c r="D9" s="1" t="s">
        <v>35</v>
      </c>
      <c r="E9" s="1" t="s">
        <v>20</v>
      </c>
      <c r="F9" s="1" t="s">
        <v>21</v>
      </c>
      <c r="G9" s="1">
        <v>9.0500000000000007</v>
      </c>
      <c r="H9" s="1">
        <v>34.119999999999997</v>
      </c>
      <c r="I9" s="1">
        <v>53.59</v>
      </c>
      <c r="J9" s="1">
        <v>3.8</v>
      </c>
      <c r="K9" s="1">
        <v>0.58169999999999999</v>
      </c>
      <c r="L9" s="2" t="s">
        <v>22</v>
      </c>
      <c r="M9" s="2" t="s">
        <v>22</v>
      </c>
      <c r="N9" s="2" t="s">
        <v>22</v>
      </c>
      <c r="O9" s="2" t="s">
        <v>22</v>
      </c>
      <c r="P9" s="3" t="s">
        <v>23</v>
      </c>
      <c r="Q9" s="5" t="s">
        <v>23</v>
      </c>
      <c r="R9" s="2">
        <f>--(Table1[[#This Row],[Propane P/F]]="FAIL")</f>
        <v>0</v>
      </c>
      <c r="S9" s="2">
        <f>--(Table1[[#This Row],[Isobutane P/F]]="FAIL")</f>
        <v>0</v>
      </c>
      <c r="T9" s="18">
        <f>--(Table1[[#This Row],[n-Butane P/F]]="FAIL")</f>
        <v>0</v>
      </c>
      <c r="U9" s="18">
        <f>--(Table1[[#This Row],[VP P/F]]="FAIL")</f>
        <v>0</v>
      </c>
      <c r="V9" s="18">
        <f>--(Table1[[#This Row],[Density P/F]]="FAIL")</f>
        <v>1</v>
      </c>
    </row>
    <row r="10" spans="1:22" x14ac:dyDescent="0.35">
      <c r="A10" s="4">
        <v>9</v>
      </c>
      <c r="B10" s="1" t="s">
        <v>40</v>
      </c>
      <c r="C10" s="1" t="s">
        <v>41</v>
      </c>
      <c r="D10" s="1" t="s">
        <v>35</v>
      </c>
      <c r="E10" s="1" t="s">
        <v>20</v>
      </c>
      <c r="F10" s="1" t="s">
        <v>21</v>
      </c>
      <c r="G10" s="1">
        <v>15.22</v>
      </c>
      <c r="H10" s="1">
        <v>36.17</v>
      </c>
      <c r="I10" s="1">
        <v>67.069999999999993</v>
      </c>
      <c r="J10" s="1">
        <v>3.64</v>
      </c>
      <c r="K10" s="1">
        <v>0.55879999999999996</v>
      </c>
      <c r="L10" s="2" t="s">
        <v>22</v>
      </c>
      <c r="M10" s="2" t="s">
        <v>22</v>
      </c>
      <c r="N10" s="2" t="s">
        <v>22</v>
      </c>
      <c r="O10" s="2" t="s">
        <v>22</v>
      </c>
      <c r="P10" s="3" t="s">
        <v>23</v>
      </c>
      <c r="Q10" s="5" t="s">
        <v>23</v>
      </c>
      <c r="R10" s="2">
        <f>--(Table1[[#This Row],[Propane P/F]]="FAIL")</f>
        <v>0</v>
      </c>
      <c r="S10" s="2">
        <f>--(Table1[[#This Row],[Isobutane P/F]]="FAIL")</f>
        <v>0</v>
      </c>
      <c r="T10" s="18">
        <f>--(Table1[[#This Row],[n-Butane P/F]]="FAIL")</f>
        <v>0</v>
      </c>
      <c r="U10" s="18">
        <f>--(Table1[[#This Row],[VP P/F]]="FAIL")</f>
        <v>0</v>
      </c>
      <c r="V10" s="18">
        <f>--(Table1[[#This Row],[Density P/F]]="FAIL")</f>
        <v>1</v>
      </c>
    </row>
    <row r="11" spans="1:22" hidden="1" x14ac:dyDescent="0.35">
      <c r="A11" s="4">
        <v>10</v>
      </c>
      <c r="B11" s="1" t="s">
        <v>42</v>
      </c>
      <c r="C11" s="1" t="s">
        <v>43</v>
      </c>
      <c r="D11" s="1" t="s">
        <v>35</v>
      </c>
      <c r="E11" s="1" t="s">
        <v>20</v>
      </c>
      <c r="F11" s="1" t="s">
        <v>32</v>
      </c>
      <c r="G11" s="1">
        <v>0.33</v>
      </c>
      <c r="H11" s="1">
        <v>43.54</v>
      </c>
      <c r="I11" s="1">
        <v>61.89</v>
      </c>
      <c r="J11" s="1">
        <v>3.02</v>
      </c>
      <c r="K11" s="1">
        <v>0.58050000000000002</v>
      </c>
      <c r="L11" s="2" t="s">
        <v>22</v>
      </c>
      <c r="M11" s="2" t="s">
        <v>22</v>
      </c>
      <c r="N11" s="2" t="s">
        <v>22</v>
      </c>
      <c r="O11" s="2" t="s">
        <v>22</v>
      </c>
      <c r="P11" s="2" t="s">
        <v>22</v>
      </c>
      <c r="Q11" s="6" t="s">
        <v>22</v>
      </c>
      <c r="R11" s="2">
        <f>--(Table1[[#This Row],[Propane P/F]]="FAIL")</f>
        <v>0</v>
      </c>
      <c r="S11" s="2">
        <f>--(Table1[[#This Row],[Isobutane P/F]]="FAIL")</f>
        <v>0</v>
      </c>
      <c r="T11" s="18">
        <f>--(Table1[[#This Row],[n-Butane P/F]]="FAIL")</f>
        <v>0</v>
      </c>
      <c r="U11" s="18">
        <f>--(Table1[[#This Row],[VP P/F]]="FAIL")</f>
        <v>0</v>
      </c>
      <c r="V11" s="18">
        <f>--(Table1[[#This Row],[Density P/F]]="FAIL")</f>
        <v>0</v>
      </c>
    </row>
    <row r="12" spans="1:22" x14ac:dyDescent="0.35">
      <c r="A12" s="4">
        <v>11</v>
      </c>
      <c r="B12" s="1" t="s">
        <v>44</v>
      </c>
      <c r="C12" s="1" t="s">
        <v>45</v>
      </c>
      <c r="D12" s="1" t="s">
        <v>46</v>
      </c>
      <c r="E12" s="1" t="s">
        <v>20</v>
      </c>
      <c r="F12" s="1" t="s">
        <v>21</v>
      </c>
      <c r="G12" s="1">
        <v>13.74</v>
      </c>
      <c r="H12" s="1">
        <v>25.73</v>
      </c>
      <c r="I12" s="1">
        <v>62.86</v>
      </c>
      <c r="J12" s="1">
        <v>4.34</v>
      </c>
      <c r="K12" s="1">
        <v>0.56759999999999999</v>
      </c>
      <c r="L12" s="2" t="s">
        <v>22</v>
      </c>
      <c r="M12" s="2" t="s">
        <v>22</v>
      </c>
      <c r="N12" s="2" t="s">
        <v>22</v>
      </c>
      <c r="O12" s="2" t="s">
        <v>22</v>
      </c>
      <c r="P12" s="2" t="s">
        <v>22</v>
      </c>
      <c r="Q12" s="6" t="s">
        <v>22</v>
      </c>
      <c r="R12" s="2">
        <f>--(Table1[[#This Row],[Propane P/F]]="FAIL")</f>
        <v>0</v>
      </c>
      <c r="S12" s="2">
        <f>--(Table1[[#This Row],[Isobutane P/F]]="FAIL")</f>
        <v>0</v>
      </c>
      <c r="T12" s="18">
        <f>--(Table1[[#This Row],[n-Butane P/F]]="FAIL")</f>
        <v>0</v>
      </c>
      <c r="U12" s="18">
        <f>--(Table1[[#This Row],[VP P/F]]="FAIL")</f>
        <v>0</v>
      </c>
      <c r="V12" s="18">
        <f>--(Table1[[#This Row],[Density P/F]]="FAIL")</f>
        <v>0</v>
      </c>
    </row>
    <row r="13" spans="1:22" x14ac:dyDescent="0.35">
      <c r="A13" s="4">
        <v>12</v>
      </c>
      <c r="B13" s="1" t="s">
        <v>47</v>
      </c>
      <c r="C13" s="1" t="s">
        <v>48</v>
      </c>
      <c r="D13" s="1" t="s">
        <v>46</v>
      </c>
      <c r="E13" s="1" t="s">
        <v>20</v>
      </c>
      <c r="F13" s="1" t="s">
        <v>21</v>
      </c>
      <c r="G13" s="1">
        <v>13.11</v>
      </c>
      <c r="H13" s="1">
        <v>22.64</v>
      </c>
      <c r="I13" s="1">
        <v>51.04</v>
      </c>
      <c r="J13" s="1">
        <v>3.52</v>
      </c>
      <c r="K13" s="1">
        <v>0.57310000000000005</v>
      </c>
      <c r="L13" s="2" t="s">
        <v>22</v>
      </c>
      <c r="M13" s="2" t="s">
        <v>22</v>
      </c>
      <c r="N13" s="2" t="s">
        <v>22</v>
      </c>
      <c r="O13" s="2" t="s">
        <v>22</v>
      </c>
      <c r="P13" s="2" t="s">
        <v>22</v>
      </c>
      <c r="Q13" s="6" t="s">
        <v>22</v>
      </c>
      <c r="R13" s="2">
        <f>--(Table1[[#This Row],[Propane P/F]]="FAIL")</f>
        <v>0</v>
      </c>
      <c r="S13" s="2">
        <f>--(Table1[[#This Row],[Isobutane P/F]]="FAIL")</f>
        <v>0</v>
      </c>
      <c r="T13" s="18">
        <f>--(Table1[[#This Row],[n-Butane P/F]]="FAIL")</f>
        <v>0</v>
      </c>
      <c r="U13" s="18">
        <f>--(Table1[[#This Row],[VP P/F]]="FAIL")</f>
        <v>0</v>
      </c>
      <c r="V13" s="18">
        <f>--(Table1[[#This Row],[Density P/F]]="FAIL")</f>
        <v>0</v>
      </c>
    </row>
    <row r="14" spans="1:22" x14ac:dyDescent="0.35">
      <c r="A14" s="4">
        <v>13</v>
      </c>
      <c r="B14" s="1" t="s">
        <v>49</v>
      </c>
      <c r="C14" s="1" t="s">
        <v>50</v>
      </c>
      <c r="D14" s="1" t="s">
        <v>46</v>
      </c>
      <c r="E14" s="1" t="s">
        <v>20</v>
      </c>
      <c r="F14" s="1" t="s">
        <v>21</v>
      </c>
      <c r="G14" s="1">
        <v>7.76</v>
      </c>
      <c r="H14" s="1">
        <v>27.87</v>
      </c>
      <c r="I14" s="1">
        <v>71.91</v>
      </c>
      <c r="J14" s="1">
        <v>3.96</v>
      </c>
      <c r="K14" s="1">
        <v>0.55789999999999995</v>
      </c>
      <c r="L14" s="2" t="s">
        <v>22</v>
      </c>
      <c r="M14" s="2" t="s">
        <v>22</v>
      </c>
      <c r="N14" s="2" t="s">
        <v>22</v>
      </c>
      <c r="O14" s="2" t="s">
        <v>22</v>
      </c>
      <c r="P14" s="3" t="s">
        <v>23</v>
      </c>
      <c r="Q14" s="5" t="s">
        <v>23</v>
      </c>
      <c r="R14" s="2">
        <f>--(Table1[[#This Row],[Propane P/F]]="FAIL")</f>
        <v>0</v>
      </c>
      <c r="S14" s="2">
        <f>--(Table1[[#This Row],[Isobutane P/F]]="FAIL")</f>
        <v>0</v>
      </c>
      <c r="T14" s="18">
        <f>--(Table1[[#This Row],[n-Butane P/F]]="FAIL")</f>
        <v>0</v>
      </c>
      <c r="U14" s="18">
        <f>--(Table1[[#This Row],[VP P/F]]="FAIL")</f>
        <v>0</v>
      </c>
      <c r="V14" s="18">
        <f>--(Table1[[#This Row],[Density P/F]]="FAIL")</f>
        <v>1</v>
      </c>
    </row>
    <row r="15" spans="1:22" x14ac:dyDescent="0.35">
      <c r="A15" s="4">
        <v>14</v>
      </c>
      <c r="B15" s="1" t="s">
        <v>51</v>
      </c>
      <c r="C15" s="1" t="s">
        <v>52</v>
      </c>
      <c r="D15" s="1" t="s">
        <v>46</v>
      </c>
      <c r="E15" s="1" t="s">
        <v>20</v>
      </c>
      <c r="F15" s="1" t="s">
        <v>21</v>
      </c>
      <c r="G15" s="1">
        <v>15.18</v>
      </c>
      <c r="H15" s="1">
        <v>30.67</v>
      </c>
      <c r="I15" s="1">
        <v>55.87</v>
      </c>
      <c r="J15" s="1">
        <v>4.07</v>
      </c>
      <c r="K15" s="1">
        <v>0.56069999999999998</v>
      </c>
      <c r="L15" s="2" t="s">
        <v>22</v>
      </c>
      <c r="M15" s="2" t="s">
        <v>22</v>
      </c>
      <c r="N15" s="2" t="s">
        <v>22</v>
      </c>
      <c r="O15" s="2" t="s">
        <v>22</v>
      </c>
      <c r="P15" s="2" t="s">
        <v>22</v>
      </c>
      <c r="Q15" s="6" t="s">
        <v>22</v>
      </c>
      <c r="R15" s="2">
        <f>--(Table1[[#This Row],[Propane P/F]]="FAIL")</f>
        <v>0</v>
      </c>
      <c r="S15" s="2">
        <f>--(Table1[[#This Row],[Isobutane P/F]]="FAIL")</f>
        <v>0</v>
      </c>
      <c r="T15" s="18">
        <f>--(Table1[[#This Row],[n-Butane P/F]]="FAIL")</f>
        <v>0</v>
      </c>
      <c r="U15" s="18">
        <f>--(Table1[[#This Row],[VP P/F]]="FAIL")</f>
        <v>0</v>
      </c>
      <c r="V15" s="18">
        <f>--(Table1[[#This Row],[Density P/F]]="FAIL")</f>
        <v>0</v>
      </c>
    </row>
    <row r="16" spans="1:22" hidden="1" x14ac:dyDescent="0.35">
      <c r="A16" s="4">
        <v>15</v>
      </c>
      <c r="B16" s="1" t="s">
        <v>53</v>
      </c>
      <c r="C16" s="1" t="s">
        <v>54</v>
      </c>
      <c r="D16" s="1" t="s">
        <v>46</v>
      </c>
      <c r="E16" s="1" t="s">
        <v>20</v>
      </c>
      <c r="F16" s="1" t="s">
        <v>32</v>
      </c>
      <c r="G16" s="1">
        <v>0.77</v>
      </c>
      <c r="H16" s="1">
        <v>43.01</v>
      </c>
      <c r="I16" s="1">
        <v>56.37</v>
      </c>
      <c r="J16" s="1">
        <v>3.07</v>
      </c>
      <c r="K16" s="1">
        <v>0.57289999999999996</v>
      </c>
      <c r="L16" s="2" t="s">
        <v>22</v>
      </c>
      <c r="M16" s="2" t="s">
        <v>22</v>
      </c>
      <c r="N16" s="2" t="s">
        <v>22</v>
      </c>
      <c r="O16" s="2" t="s">
        <v>22</v>
      </c>
      <c r="P16" s="2" t="s">
        <v>22</v>
      </c>
      <c r="Q16" s="6" t="s">
        <v>22</v>
      </c>
      <c r="R16" s="2">
        <f>--(Table1[[#This Row],[Propane P/F]]="FAIL")</f>
        <v>0</v>
      </c>
      <c r="S16" s="2">
        <f>--(Table1[[#This Row],[Isobutane P/F]]="FAIL")</f>
        <v>0</v>
      </c>
      <c r="T16" s="18">
        <f>--(Table1[[#This Row],[n-Butane P/F]]="FAIL")</f>
        <v>0</v>
      </c>
      <c r="U16" s="18">
        <f>--(Table1[[#This Row],[VP P/F]]="FAIL")</f>
        <v>0</v>
      </c>
      <c r="V16" s="18">
        <f>--(Table1[[#This Row],[Density P/F]]="FAIL")</f>
        <v>0</v>
      </c>
    </row>
    <row r="17" spans="1:22" x14ac:dyDescent="0.35">
      <c r="A17" s="4">
        <v>16</v>
      </c>
      <c r="B17" s="1" t="s">
        <v>55</v>
      </c>
      <c r="C17" s="1" t="s">
        <v>56</v>
      </c>
      <c r="D17" s="1" t="s">
        <v>57</v>
      </c>
      <c r="E17" s="1" t="s">
        <v>20</v>
      </c>
      <c r="F17" s="1" t="s">
        <v>21</v>
      </c>
      <c r="G17" s="1">
        <v>9.39</v>
      </c>
      <c r="H17" s="1">
        <v>27.73</v>
      </c>
      <c r="I17" s="1">
        <v>53.55</v>
      </c>
      <c r="J17" s="1">
        <v>4.4000000000000004</v>
      </c>
      <c r="K17" s="1">
        <v>0.58009999999999995</v>
      </c>
      <c r="L17" s="2" t="s">
        <v>22</v>
      </c>
      <c r="M17" s="2" t="s">
        <v>22</v>
      </c>
      <c r="N17" s="2" t="s">
        <v>22</v>
      </c>
      <c r="O17" s="2" t="s">
        <v>22</v>
      </c>
      <c r="P17" s="3" t="s">
        <v>23</v>
      </c>
      <c r="Q17" s="5" t="s">
        <v>23</v>
      </c>
      <c r="R17" s="2">
        <f>--(Table1[[#This Row],[Propane P/F]]="FAIL")</f>
        <v>0</v>
      </c>
      <c r="S17" s="2">
        <f>--(Table1[[#This Row],[Isobutane P/F]]="FAIL")</f>
        <v>0</v>
      </c>
      <c r="T17" s="18">
        <f>--(Table1[[#This Row],[n-Butane P/F]]="FAIL")</f>
        <v>0</v>
      </c>
      <c r="U17" s="18">
        <f>--(Table1[[#This Row],[VP P/F]]="FAIL")</f>
        <v>0</v>
      </c>
      <c r="V17" s="18">
        <f>--(Table1[[#This Row],[Density P/F]]="FAIL")</f>
        <v>1</v>
      </c>
    </row>
    <row r="18" spans="1:22" x14ac:dyDescent="0.35">
      <c r="A18" s="4">
        <v>17</v>
      </c>
      <c r="B18" s="1" t="s">
        <v>58</v>
      </c>
      <c r="C18" s="1" t="s">
        <v>59</v>
      </c>
      <c r="D18" s="1" t="s">
        <v>57</v>
      </c>
      <c r="E18" s="1" t="s">
        <v>20</v>
      </c>
      <c r="F18" s="1" t="s">
        <v>21</v>
      </c>
      <c r="G18" s="1">
        <v>12.86</v>
      </c>
      <c r="H18" s="1">
        <v>23.01</v>
      </c>
      <c r="I18" s="1">
        <v>57.99</v>
      </c>
      <c r="J18" s="1">
        <v>4.43</v>
      </c>
      <c r="K18" s="1">
        <v>0.57740000000000002</v>
      </c>
      <c r="L18" s="2" t="s">
        <v>22</v>
      </c>
      <c r="M18" s="2" t="s">
        <v>22</v>
      </c>
      <c r="N18" s="2" t="s">
        <v>22</v>
      </c>
      <c r="O18" s="2" t="s">
        <v>22</v>
      </c>
      <c r="P18" s="2" t="s">
        <v>22</v>
      </c>
      <c r="Q18" s="6" t="s">
        <v>22</v>
      </c>
      <c r="R18" s="2">
        <f>--(Table1[[#This Row],[Propane P/F]]="FAIL")</f>
        <v>0</v>
      </c>
      <c r="S18" s="2">
        <f>--(Table1[[#This Row],[Isobutane P/F]]="FAIL")</f>
        <v>0</v>
      </c>
      <c r="T18" s="18">
        <f>--(Table1[[#This Row],[n-Butane P/F]]="FAIL")</f>
        <v>0</v>
      </c>
      <c r="U18" s="18">
        <f>--(Table1[[#This Row],[VP P/F]]="FAIL")</f>
        <v>0</v>
      </c>
      <c r="V18" s="18">
        <f>--(Table1[[#This Row],[Density P/F]]="FAIL")</f>
        <v>0</v>
      </c>
    </row>
    <row r="19" spans="1:22" x14ac:dyDescent="0.35">
      <c r="A19" s="4">
        <v>18</v>
      </c>
      <c r="B19" s="1" t="s">
        <v>60</v>
      </c>
      <c r="C19" s="1" t="s">
        <v>61</v>
      </c>
      <c r="D19" s="1" t="s">
        <v>57</v>
      </c>
      <c r="E19" s="1" t="s">
        <v>20</v>
      </c>
      <c r="F19" s="1" t="s">
        <v>21</v>
      </c>
      <c r="G19" s="1">
        <v>13.81</v>
      </c>
      <c r="H19" s="1">
        <v>22.42</v>
      </c>
      <c r="I19" s="1">
        <v>66.099999999999994</v>
      </c>
      <c r="J19" s="1">
        <v>4.26</v>
      </c>
      <c r="K19" s="1">
        <v>0.58150000000000002</v>
      </c>
      <c r="L19" s="2" t="s">
        <v>22</v>
      </c>
      <c r="M19" s="2" t="s">
        <v>22</v>
      </c>
      <c r="N19" s="2" t="s">
        <v>22</v>
      </c>
      <c r="O19" s="2" t="s">
        <v>22</v>
      </c>
      <c r="P19" s="3" t="s">
        <v>23</v>
      </c>
      <c r="Q19" s="5" t="s">
        <v>23</v>
      </c>
      <c r="R19" s="2">
        <f>--(Table1[[#This Row],[Propane P/F]]="FAIL")</f>
        <v>0</v>
      </c>
      <c r="S19" s="2">
        <f>--(Table1[[#This Row],[Isobutane P/F]]="FAIL")</f>
        <v>0</v>
      </c>
      <c r="T19" s="18">
        <f>--(Table1[[#This Row],[n-Butane P/F]]="FAIL")</f>
        <v>0</v>
      </c>
      <c r="U19" s="18">
        <f>--(Table1[[#This Row],[VP P/F]]="FAIL")</f>
        <v>0</v>
      </c>
      <c r="V19" s="18">
        <f>--(Table1[[#This Row],[Density P/F]]="FAIL")</f>
        <v>1</v>
      </c>
    </row>
    <row r="20" spans="1:22" x14ac:dyDescent="0.35">
      <c r="A20" s="4">
        <v>19</v>
      </c>
      <c r="B20" s="1" t="s">
        <v>62</v>
      </c>
      <c r="C20" s="1" t="s">
        <v>63</v>
      </c>
      <c r="D20" s="1" t="s">
        <v>57</v>
      </c>
      <c r="E20" s="1" t="s">
        <v>20</v>
      </c>
      <c r="F20" s="1" t="s">
        <v>21</v>
      </c>
      <c r="G20" s="1">
        <v>14.92</v>
      </c>
      <c r="H20" s="1">
        <v>38.04</v>
      </c>
      <c r="I20" s="1">
        <v>53.63</v>
      </c>
      <c r="J20" s="1">
        <v>3.95</v>
      </c>
      <c r="K20" s="1">
        <v>0.5726</v>
      </c>
      <c r="L20" s="2" t="s">
        <v>22</v>
      </c>
      <c r="M20" s="2" t="s">
        <v>22</v>
      </c>
      <c r="N20" s="2" t="s">
        <v>22</v>
      </c>
      <c r="O20" s="2" t="s">
        <v>22</v>
      </c>
      <c r="P20" s="2" t="s">
        <v>22</v>
      </c>
      <c r="Q20" s="6" t="s">
        <v>22</v>
      </c>
      <c r="R20" s="2">
        <f>--(Table1[[#This Row],[Propane P/F]]="FAIL")</f>
        <v>0</v>
      </c>
      <c r="S20" s="2">
        <f>--(Table1[[#This Row],[Isobutane P/F]]="FAIL")</f>
        <v>0</v>
      </c>
      <c r="T20" s="18">
        <f>--(Table1[[#This Row],[n-Butane P/F]]="FAIL")</f>
        <v>0</v>
      </c>
      <c r="U20" s="18">
        <f>--(Table1[[#This Row],[VP P/F]]="FAIL")</f>
        <v>0</v>
      </c>
      <c r="V20" s="18">
        <f>--(Table1[[#This Row],[Density P/F]]="FAIL")</f>
        <v>0</v>
      </c>
    </row>
    <row r="21" spans="1:22" hidden="1" x14ac:dyDescent="0.35">
      <c r="A21" s="4">
        <v>20</v>
      </c>
      <c r="B21" s="1" t="s">
        <v>64</v>
      </c>
      <c r="C21" s="1" t="s">
        <v>65</v>
      </c>
      <c r="D21" s="1" t="s">
        <v>57</v>
      </c>
      <c r="E21" s="1" t="s">
        <v>20</v>
      </c>
      <c r="F21" s="1" t="s">
        <v>32</v>
      </c>
      <c r="G21" s="1">
        <v>0.65</v>
      </c>
      <c r="H21" s="1">
        <v>41.52</v>
      </c>
      <c r="I21" s="1">
        <v>60.42</v>
      </c>
      <c r="J21" s="1">
        <v>3.04</v>
      </c>
      <c r="K21" s="1">
        <v>0.58069999999999999</v>
      </c>
      <c r="L21" s="2" t="s">
        <v>22</v>
      </c>
      <c r="M21" s="2" t="s">
        <v>22</v>
      </c>
      <c r="N21" s="2" t="s">
        <v>22</v>
      </c>
      <c r="O21" s="2" t="s">
        <v>22</v>
      </c>
      <c r="P21" s="2" t="s">
        <v>22</v>
      </c>
      <c r="Q21" s="6" t="s">
        <v>22</v>
      </c>
      <c r="R21" s="2">
        <f>--(Table1[[#This Row],[Propane P/F]]="FAIL")</f>
        <v>0</v>
      </c>
      <c r="S21" s="2">
        <f>--(Table1[[#This Row],[Isobutane P/F]]="FAIL")</f>
        <v>0</v>
      </c>
      <c r="T21" s="18">
        <f>--(Table1[[#This Row],[n-Butane P/F]]="FAIL")</f>
        <v>0</v>
      </c>
      <c r="U21" s="18">
        <f>--(Table1[[#This Row],[VP P/F]]="FAIL")</f>
        <v>0</v>
      </c>
      <c r="V21" s="18">
        <f>--(Table1[[#This Row],[Density P/F]]="FAIL")</f>
        <v>0</v>
      </c>
    </row>
    <row r="22" spans="1:22" x14ac:dyDescent="0.35">
      <c r="A22" s="4">
        <v>21</v>
      </c>
      <c r="B22" s="1" t="s">
        <v>66</v>
      </c>
      <c r="C22" s="1" t="s">
        <v>67</v>
      </c>
      <c r="D22" s="1" t="s">
        <v>68</v>
      </c>
      <c r="E22" s="1" t="s">
        <v>20</v>
      </c>
      <c r="F22" s="1" t="s">
        <v>21</v>
      </c>
      <c r="G22" s="1">
        <v>7.25</v>
      </c>
      <c r="H22" s="1">
        <v>30.97</v>
      </c>
      <c r="I22" s="1">
        <v>62.95</v>
      </c>
      <c r="J22" s="1">
        <v>3.41</v>
      </c>
      <c r="K22" s="1">
        <v>0.57499999999999996</v>
      </c>
      <c r="L22" s="2" t="s">
        <v>22</v>
      </c>
      <c r="M22" s="2" t="s">
        <v>22</v>
      </c>
      <c r="N22" s="2" t="s">
        <v>22</v>
      </c>
      <c r="O22" s="2" t="s">
        <v>22</v>
      </c>
      <c r="P22" s="2" t="s">
        <v>22</v>
      </c>
      <c r="Q22" s="6" t="s">
        <v>22</v>
      </c>
      <c r="R22" s="2">
        <f>--(Table1[[#This Row],[Propane P/F]]="FAIL")</f>
        <v>0</v>
      </c>
      <c r="S22" s="2">
        <f>--(Table1[[#This Row],[Isobutane P/F]]="FAIL")</f>
        <v>0</v>
      </c>
      <c r="T22" s="18">
        <f>--(Table1[[#This Row],[n-Butane P/F]]="FAIL")</f>
        <v>0</v>
      </c>
      <c r="U22" s="18">
        <f>--(Table1[[#This Row],[VP P/F]]="FAIL")</f>
        <v>0</v>
      </c>
      <c r="V22" s="18">
        <f>--(Table1[[#This Row],[Density P/F]]="FAIL")</f>
        <v>0</v>
      </c>
    </row>
    <row r="23" spans="1:22" x14ac:dyDescent="0.35">
      <c r="A23" s="4">
        <v>22</v>
      </c>
      <c r="B23" s="1" t="s">
        <v>69</v>
      </c>
      <c r="C23" s="1" t="s">
        <v>70</v>
      </c>
      <c r="D23" s="1" t="s">
        <v>68</v>
      </c>
      <c r="E23" s="1" t="s">
        <v>20</v>
      </c>
      <c r="F23" s="1" t="s">
        <v>21</v>
      </c>
      <c r="G23" s="1">
        <v>7.38</v>
      </c>
      <c r="H23" s="1">
        <v>26.95</v>
      </c>
      <c r="I23" s="1">
        <v>61.31</v>
      </c>
      <c r="J23" s="1">
        <v>3.69</v>
      </c>
      <c r="K23" s="1">
        <v>0.5696</v>
      </c>
      <c r="L23" s="2" t="s">
        <v>22</v>
      </c>
      <c r="M23" s="2" t="s">
        <v>22</v>
      </c>
      <c r="N23" s="2" t="s">
        <v>22</v>
      </c>
      <c r="O23" s="2" t="s">
        <v>22</v>
      </c>
      <c r="P23" s="2" t="s">
        <v>22</v>
      </c>
      <c r="Q23" s="6" t="s">
        <v>22</v>
      </c>
      <c r="R23" s="2">
        <f>--(Table1[[#This Row],[Propane P/F]]="FAIL")</f>
        <v>0</v>
      </c>
      <c r="S23" s="2">
        <f>--(Table1[[#This Row],[Isobutane P/F]]="FAIL")</f>
        <v>0</v>
      </c>
      <c r="T23" s="18">
        <f>--(Table1[[#This Row],[n-Butane P/F]]="FAIL")</f>
        <v>0</v>
      </c>
      <c r="U23" s="18">
        <f>--(Table1[[#This Row],[VP P/F]]="FAIL")</f>
        <v>0</v>
      </c>
      <c r="V23" s="18">
        <f>--(Table1[[#This Row],[Density P/F]]="FAIL")</f>
        <v>0</v>
      </c>
    </row>
    <row r="24" spans="1:22" x14ac:dyDescent="0.35">
      <c r="A24" s="4">
        <v>23</v>
      </c>
      <c r="B24" s="1" t="s">
        <v>71</v>
      </c>
      <c r="C24" s="1" t="s">
        <v>72</v>
      </c>
      <c r="D24" s="1" t="s">
        <v>68</v>
      </c>
      <c r="E24" s="1" t="s">
        <v>20</v>
      </c>
      <c r="F24" s="1" t="s">
        <v>21</v>
      </c>
      <c r="G24" s="1">
        <v>17.59</v>
      </c>
      <c r="H24" s="1">
        <v>31.37</v>
      </c>
      <c r="I24" s="1">
        <v>55.35</v>
      </c>
      <c r="J24" s="1">
        <v>3.9</v>
      </c>
      <c r="K24" s="1">
        <v>0.56779999999999997</v>
      </c>
      <c r="L24" s="2" t="s">
        <v>22</v>
      </c>
      <c r="M24" s="2" t="s">
        <v>22</v>
      </c>
      <c r="N24" s="2" t="s">
        <v>22</v>
      </c>
      <c r="O24" s="2" t="s">
        <v>22</v>
      </c>
      <c r="P24" s="2" t="s">
        <v>22</v>
      </c>
      <c r="Q24" s="6" t="s">
        <v>22</v>
      </c>
      <c r="R24" s="2">
        <f>--(Table1[[#This Row],[Propane P/F]]="FAIL")</f>
        <v>0</v>
      </c>
      <c r="S24" s="2">
        <f>--(Table1[[#This Row],[Isobutane P/F]]="FAIL")</f>
        <v>0</v>
      </c>
      <c r="T24" s="18">
        <f>--(Table1[[#This Row],[n-Butane P/F]]="FAIL")</f>
        <v>0</v>
      </c>
      <c r="U24" s="18">
        <f>--(Table1[[#This Row],[VP P/F]]="FAIL")</f>
        <v>0</v>
      </c>
      <c r="V24" s="18">
        <f>--(Table1[[#This Row],[Density P/F]]="FAIL")</f>
        <v>0</v>
      </c>
    </row>
    <row r="25" spans="1:22" x14ac:dyDescent="0.35">
      <c r="A25" s="4">
        <v>24</v>
      </c>
      <c r="B25" s="1" t="s">
        <v>73</v>
      </c>
      <c r="C25" s="1" t="s">
        <v>74</v>
      </c>
      <c r="D25" s="1" t="s">
        <v>68</v>
      </c>
      <c r="E25" s="1" t="s">
        <v>20</v>
      </c>
      <c r="F25" s="1" t="s">
        <v>21</v>
      </c>
      <c r="G25" s="1">
        <v>11.25</v>
      </c>
      <c r="H25" s="1">
        <v>28.4</v>
      </c>
      <c r="I25" s="1">
        <v>69</v>
      </c>
      <c r="J25" s="1">
        <v>3.46</v>
      </c>
      <c r="K25" s="1">
        <v>0.57369999999999999</v>
      </c>
      <c r="L25" s="2" t="s">
        <v>22</v>
      </c>
      <c r="M25" s="2" t="s">
        <v>22</v>
      </c>
      <c r="N25" s="2" t="s">
        <v>22</v>
      </c>
      <c r="O25" s="2" t="s">
        <v>22</v>
      </c>
      <c r="P25" s="2" t="s">
        <v>22</v>
      </c>
      <c r="Q25" s="6" t="s">
        <v>22</v>
      </c>
      <c r="R25" s="2">
        <f>--(Table1[[#This Row],[Propane P/F]]="FAIL")</f>
        <v>0</v>
      </c>
      <c r="S25" s="2">
        <f>--(Table1[[#This Row],[Isobutane P/F]]="FAIL")</f>
        <v>0</v>
      </c>
      <c r="T25" s="18">
        <f>--(Table1[[#This Row],[n-Butane P/F]]="FAIL")</f>
        <v>0</v>
      </c>
      <c r="U25" s="18">
        <f>--(Table1[[#This Row],[VP P/F]]="FAIL")</f>
        <v>0</v>
      </c>
      <c r="V25" s="18">
        <f>--(Table1[[#This Row],[Density P/F]]="FAIL")</f>
        <v>0</v>
      </c>
    </row>
    <row r="26" spans="1:22" hidden="1" x14ac:dyDescent="0.35">
      <c r="A26" s="4">
        <v>25</v>
      </c>
      <c r="B26" s="1" t="s">
        <v>75</v>
      </c>
      <c r="C26" s="1" t="s">
        <v>76</v>
      </c>
      <c r="D26" s="1" t="s">
        <v>68</v>
      </c>
      <c r="E26" s="1" t="s">
        <v>20</v>
      </c>
      <c r="F26" s="1" t="s">
        <v>32</v>
      </c>
      <c r="G26" s="1">
        <v>0.64</v>
      </c>
      <c r="H26" s="1">
        <v>42.4</v>
      </c>
      <c r="I26" s="1">
        <v>66.73</v>
      </c>
      <c r="J26" s="1">
        <v>2.99</v>
      </c>
      <c r="K26" s="1">
        <v>0.5786</v>
      </c>
      <c r="L26" s="2" t="s">
        <v>22</v>
      </c>
      <c r="M26" s="2" t="s">
        <v>22</v>
      </c>
      <c r="N26" s="3" t="s">
        <v>23</v>
      </c>
      <c r="O26" s="2" t="s">
        <v>22</v>
      </c>
      <c r="P26" s="2" t="s">
        <v>22</v>
      </c>
      <c r="Q26" s="5" t="s">
        <v>23</v>
      </c>
      <c r="R26" s="2">
        <f>--(Table1[[#This Row],[Propane P/F]]="FAIL")</f>
        <v>0</v>
      </c>
      <c r="S26" s="2">
        <f>--(Table1[[#This Row],[Isobutane P/F]]="FAIL")</f>
        <v>0</v>
      </c>
      <c r="T26" s="18">
        <f>--(Table1[[#This Row],[n-Butane P/F]]="FAIL")</f>
        <v>1</v>
      </c>
      <c r="U26" s="18">
        <f>--(Table1[[#This Row],[VP P/F]]="FAIL")</f>
        <v>0</v>
      </c>
      <c r="V26" s="18">
        <f>--(Table1[[#This Row],[Density P/F]]="FAIL")</f>
        <v>0</v>
      </c>
    </row>
    <row r="27" spans="1:22" x14ac:dyDescent="0.35">
      <c r="A27" s="4">
        <v>26</v>
      </c>
      <c r="B27" s="1" t="s">
        <v>77</v>
      </c>
      <c r="C27" s="1" t="s">
        <v>78</v>
      </c>
      <c r="D27" s="1" t="s">
        <v>79</v>
      </c>
      <c r="E27" s="1" t="s">
        <v>20</v>
      </c>
      <c r="F27" s="1" t="s">
        <v>21</v>
      </c>
      <c r="G27" s="1">
        <v>17.34</v>
      </c>
      <c r="H27" s="1">
        <v>30.91</v>
      </c>
      <c r="I27" s="1">
        <v>51.11</v>
      </c>
      <c r="J27" s="1">
        <v>4.45</v>
      </c>
      <c r="K27" s="1">
        <v>0.57809999999999995</v>
      </c>
      <c r="L27" s="2" t="s">
        <v>22</v>
      </c>
      <c r="M27" s="2" t="s">
        <v>22</v>
      </c>
      <c r="N27" s="2" t="s">
        <v>22</v>
      </c>
      <c r="O27" s="2" t="s">
        <v>22</v>
      </c>
      <c r="P27" s="2" t="s">
        <v>22</v>
      </c>
      <c r="Q27" s="6" t="s">
        <v>22</v>
      </c>
      <c r="R27" s="2">
        <f>--(Table1[[#This Row],[Propane P/F]]="FAIL")</f>
        <v>0</v>
      </c>
      <c r="S27" s="2">
        <f>--(Table1[[#This Row],[Isobutane P/F]]="FAIL")</f>
        <v>0</v>
      </c>
      <c r="T27" s="18">
        <f>--(Table1[[#This Row],[n-Butane P/F]]="FAIL")</f>
        <v>0</v>
      </c>
      <c r="U27" s="18">
        <f>--(Table1[[#This Row],[VP P/F]]="FAIL")</f>
        <v>0</v>
      </c>
      <c r="V27" s="18">
        <f>--(Table1[[#This Row],[Density P/F]]="FAIL")</f>
        <v>0</v>
      </c>
    </row>
    <row r="28" spans="1:22" x14ac:dyDescent="0.35">
      <c r="A28" s="4">
        <v>27</v>
      </c>
      <c r="B28" s="1" t="s">
        <v>80</v>
      </c>
      <c r="C28" s="1" t="s">
        <v>81</v>
      </c>
      <c r="D28" s="1" t="s">
        <v>79</v>
      </c>
      <c r="E28" s="1" t="s">
        <v>20</v>
      </c>
      <c r="F28" s="1" t="s">
        <v>21</v>
      </c>
      <c r="G28" s="1">
        <v>17.18</v>
      </c>
      <c r="H28" s="1">
        <v>23.99</v>
      </c>
      <c r="I28" s="1">
        <v>60.68</v>
      </c>
      <c r="J28" s="1">
        <v>3.62</v>
      </c>
      <c r="K28" s="1">
        <v>0.56759999999999999</v>
      </c>
      <c r="L28" s="2" t="s">
        <v>22</v>
      </c>
      <c r="M28" s="2" t="s">
        <v>22</v>
      </c>
      <c r="N28" s="2" t="s">
        <v>22</v>
      </c>
      <c r="O28" s="2" t="s">
        <v>22</v>
      </c>
      <c r="P28" s="2" t="s">
        <v>22</v>
      </c>
      <c r="Q28" s="6" t="s">
        <v>22</v>
      </c>
      <c r="R28" s="2">
        <f>--(Table1[[#This Row],[Propane P/F]]="FAIL")</f>
        <v>0</v>
      </c>
      <c r="S28" s="2">
        <f>--(Table1[[#This Row],[Isobutane P/F]]="FAIL")</f>
        <v>0</v>
      </c>
      <c r="T28" s="18">
        <f>--(Table1[[#This Row],[n-Butane P/F]]="FAIL")</f>
        <v>0</v>
      </c>
      <c r="U28" s="18">
        <f>--(Table1[[#This Row],[VP P/F]]="FAIL")</f>
        <v>0</v>
      </c>
      <c r="V28" s="18">
        <f>--(Table1[[#This Row],[Density P/F]]="FAIL")</f>
        <v>0</v>
      </c>
    </row>
    <row r="29" spans="1:22" x14ac:dyDescent="0.35">
      <c r="A29" s="4">
        <v>28</v>
      </c>
      <c r="B29" s="1" t="s">
        <v>82</v>
      </c>
      <c r="C29" s="1" t="s">
        <v>83</v>
      </c>
      <c r="D29" s="1" t="s">
        <v>79</v>
      </c>
      <c r="E29" s="1" t="s">
        <v>20</v>
      </c>
      <c r="F29" s="1" t="s">
        <v>21</v>
      </c>
      <c r="G29" s="1">
        <v>18.82</v>
      </c>
      <c r="H29" s="1">
        <v>25.77</v>
      </c>
      <c r="I29" s="1">
        <v>67.25</v>
      </c>
      <c r="J29" s="1">
        <v>3.88</v>
      </c>
      <c r="K29" s="1">
        <v>0.56820000000000004</v>
      </c>
      <c r="L29" s="2" t="s">
        <v>22</v>
      </c>
      <c r="M29" s="2" t="s">
        <v>22</v>
      </c>
      <c r="N29" s="2" t="s">
        <v>22</v>
      </c>
      <c r="O29" s="2" t="s">
        <v>22</v>
      </c>
      <c r="P29" s="2" t="s">
        <v>22</v>
      </c>
      <c r="Q29" s="6" t="s">
        <v>22</v>
      </c>
      <c r="R29" s="2">
        <f>--(Table1[[#This Row],[Propane P/F]]="FAIL")</f>
        <v>0</v>
      </c>
      <c r="S29" s="2">
        <f>--(Table1[[#This Row],[Isobutane P/F]]="FAIL")</f>
        <v>0</v>
      </c>
      <c r="T29" s="18">
        <f>--(Table1[[#This Row],[n-Butane P/F]]="FAIL")</f>
        <v>0</v>
      </c>
      <c r="U29" s="18">
        <f>--(Table1[[#This Row],[VP P/F]]="FAIL")</f>
        <v>0</v>
      </c>
      <c r="V29" s="18">
        <f>--(Table1[[#This Row],[Density P/F]]="FAIL")</f>
        <v>0</v>
      </c>
    </row>
    <row r="30" spans="1:22" x14ac:dyDescent="0.35">
      <c r="A30" s="4">
        <v>29</v>
      </c>
      <c r="B30" s="1" t="s">
        <v>84</v>
      </c>
      <c r="C30" s="1" t="s">
        <v>85</v>
      </c>
      <c r="D30" s="1" t="s">
        <v>79</v>
      </c>
      <c r="E30" s="1" t="s">
        <v>20</v>
      </c>
      <c r="F30" s="1" t="s">
        <v>21</v>
      </c>
      <c r="G30" s="1">
        <v>13.67</v>
      </c>
      <c r="H30" s="1">
        <v>33.93</v>
      </c>
      <c r="I30" s="1">
        <v>53.41</v>
      </c>
      <c r="J30" s="1">
        <v>3.71</v>
      </c>
      <c r="K30" s="1">
        <v>0.58120000000000005</v>
      </c>
      <c r="L30" s="2" t="s">
        <v>22</v>
      </c>
      <c r="M30" s="2" t="s">
        <v>22</v>
      </c>
      <c r="N30" s="2" t="s">
        <v>22</v>
      </c>
      <c r="O30" s="2" t="s">
        <v>22</v>
      </c>
      <c r="P30" s="3" t="s">
        <v>23</v>
      </c>
      <c r="Q30" s="5" t="s">
        <v>23</v>
      </c>
      <c r="R30" s="2">
        <f>--(Table1[[#This Row],[Propane P/F]]="FAIL")</f>
        <v>0</v>
      </c>
      <c r="S30" s="2">
        <f>--(Table1[[#This Row],[Isobutane P/F]]="FAIL")</f>
        <v>0</v>
      </c>
      <c r="T30" s="18">
        <f>--(Table1[[#This Row],[n-Butane P/F]]="FAIL")</f>
        <v>0</v>
      </c>
      <c r="U30" s="18">
        <f>--(Table1[[#This Row],[VP P/F]]="FAIL")</f>
        <v>0</v>
      </c>
      <c r="V30" s="18">
        <f>--(Table1[[#This Row],[Density P/F]]="FAIL")</f>
        <v>1</v>
      </c>
    </row>
    <row r="31" spans="1:22" hidden="1" x14ac:dyDescent="0.35">
      <c r="A31" s="4">
        <v>30</v>
      </c>
      <c r="B31" s="1" t="s">
        <v>86</v>
      </c>
      <c r="C31" s="1" t="s">
        <v>87</v>
      </c>
      <c r="D31" s="1" t="s">
        <v>79</v>
      </c>
      <c r="E31" s="1" t="s">
        <v>20</v>
      </c>
      <c r="F31" s="1" t="s">
        <v>32</v>
      </c>
      <c r="G31" s="1">
        <v>0.65</v>
      </c>
      <c r="H31" s="1">
        <v>36.46</v>
      </c>
      <c r="I31" s="1">
        <v>59.26</v>
      </c>
      <c r="J31" s="1">
        <v>3.07</v>
      </c>
      <c r="K31" s="1">
        <v>0.58360000000000001</v>
      </c>
      <c r="L31" s="2" t="s">
        <v>22</v>
      </c>
      <c r="M31" s="2" t="s">
        <v>22</v>
      </c>
      <c r="N31" s="2" t="s">
        <v>22</v>
      </c>
      <c r="O31" s="2" t="s">
        <v>22</v>
      </c>
      <c r="P31" s="2" t="s">
        <v>22</v>
      </c>
      <c r="Q31" s="6" t="s">
        <v>22</v>
      </c>
      <c r="R31" s="2">
        <f>--(Table1[[#This Row],[Propane P/F]]="FAIL")</f>
        <v>0</v>
      </c>
      <c r="S31" s="2">
        <f>--(Table1[[#This Row],[Isobutane P/F]]="FAIL")</f>
        <v>0</v>
      </c>
      <c r="T31" s="18">
        <f>--(Table1[[#This Row],[n-Butane P/F]]="FAIL")</f>
        <v>0</v>
      </c>
      <c r="U31" s="18">
        <f>--(Table1[[#This Row],[VP P/F]]="FAIL")</f>
        <v>0</v>
      </c>
      <c r="V31" s="18">
        <f>--(Table1[[#This Row],[Density P/F]]="FAIL")</f>
        <v>0</v>
      </c>
    </row>
    <row r="32" spans="1:22" x14ac:dyDescent="0.35">
      <c r="A32" s="4">
        <v>31</v>
      </c>
      <c r="B32" s="1" t="s">
        <v>88</v>
      </c>
      <c r="C32" s="1" t="s">
        <v>89</v>
      </c>
      <c r="D32" s="1" t="s">
        <v>90</v>
      </c>
      <c r="E32" s="1" t="s">
        <v>20</v>
      </c>
      <c r="F32" s="1" t="s">
        <v>21</v>
      </c>
      <c r="G32" s="1">
        <v>21.33</v>
      </c>
      <c r="H32" s="1">
        <v>28.27</v>
      </c>
      <c r="I32" s="1">
        <v>70.72</v>
      </c>
      <c r="J32" s="1">
        <v>4</v>
      </c>
      <c r="K32" s="1">
        <v>0.57189999999999996</v>
      </c>
      <c r="L32" s="3" t="s">
        <v>23</v>
      </c>
      <c r="M32" s="2" t="s">
        <v>22</v>
      </c>
      <c r="N32" s="2" t="s">
        <v>22</v>
      </c>
      <c r="O32" s="2" t="s">
        <v>22</v>
      </c>
      <c r="P32" s="2" t="s">
        <v>22</v>
      </c>
      <c r="Q32" s="5" t="s">
        <v>23</v>
      </c>
      <c r="R32" s="2">
        <f>--(Table1[[#This Row],[Propane P/F]]="FAIL")</f>
        <v>1</v>
      </c>
      <c r="S32" s="2">
        <f>--(Table1[[#This Row],[Isobutane P/F]]="FAIL")</f>
        <v>0</v>
      </c>
      <c r="T32" s="18">
        <f>--(Table1[[#This Row],[n-Butane P/F]]="FAIL")</f>
        <v>0</v>
      </c>
      <c r="U32" s="18">
        <f>--(Table1[[#This Row],[VP P/F]]="FAIL")</f>
        <v>0</v>
      </c>
      <c r="V32" s="18">
        <f>--(Table1[[#This Row],[Density P/F]]="FAIL")</f>
        <v>0</v>
      </c>
    </row>
    <row r="33" spans="1:22" x14ac:dyDescent="0.35">
      <c r="A33" s="4">
        <v>32</v>
      </c>
      <c r="B33" s="1" t="s">
        <v>91</v>
      </c>
      <c r="C33" s="1" t="s">
        <v>92</v>
      </c>
      <c r="D33" s="1" t="s">
        <v>90</v>
      </c>
      <c r="E33" s="1" t="s">
        <v>20</v>
      </c>
      <c r="F33" s="1" t="s">
        <v>21</v>
      </c>
      <c r="G33" s="1">
        <v>13.78</v>
      </c>
      <c r="H33" s="1">
        <v>26.69</v>
      </c>
      <c r="I33" s="1">
        <v>55.74</v>
      </c>
      <c r="J33" s="1">
        <v>4.0999999999999996</v>
      </c>
      <c r="K33" s="1">
        <v>0.5655</v>
      </c>
      <c r="L33" s="2" t="s">
        <v>22</v>
      </c>
      <c r="M33" s="2" t="s">
        <v>22</v>
      </c>
      <c r="N33" s="2" t="s">
        <v>22</v>
      </c>
      <c r="O33" s="2" t="s">
        <v>22</v>
      </c>
      <c r="P33" s="2" t="s">
        <v>22</v>
      </c>
      <c r="Q33" s="6" t="s">
        <v>22</v>
      </c>
      <c r="R33" s="2">
        <f>--(Table1[[#This Row],[Propane P/F]]="FAIL")</f>
        <v>0</v>
      </c>
      <c r="S33" s="2">
        <f>--(Table1[[#This Row],[Isobutane P/F]]="FAIL")</f>
        <v>0</v>
      </c>
      <c r="T33" s="18">
        <f>--(Table1[[#This Row],[n-Butane P/F]]="FAIL")</f>
        <v>0</v>
      </c>
      <c r="U33" s="18">
        <f>--(Table1[[#This Row],[VP P/F]]="FAIL")</f>
        <v>0</v>
      </c>
      <c r="V33" s="18">
        <f>--(Table1[[#This Row],[Density P/F]]="FAIL")</f>
        <v>0</v>
      </c>
    </row>
    <row r="34" spans="1:22" x14ac:dyDescent="0.35">
      <c r="A34" s="4">
        <v>33</v>
      </c>
      <c r="B34" s="1" t="s">
        <v>93</v>
      </c>
      <c r="C34" s="1" t="s">
        <v>94</v>
      </c>
      <c r="D34" s="1" t="s">
        <v>90</v>
      </c>
      <c r="E34" s="1" t="s">
        <v>20</v>
      </c>
      <c r="F34" s="1" t="s">
        <v>21</v>
      </c>
      <c r="G34" s="1">
        <v>14.75</v>
      </c>
      <c r="H34" s="1">
        <v>29.23</v>
      </c>
      <c r="I34" s="1">
        <v>70.44</v>
      </c>
      <c r="J34" s="1">
        <v>4.38</v>
      </c>
      <c r="K34" s="1">
        <v>0.55820000000000003</v>
      </c>
      <c r="L34" s="2" t="s">
        <v>22</v>
      </c>
      <c r="M34" s="2" t="s">
        <v>22</v>
      </c>
      <c r="N34" s="2" t="s">
        <v>22</v>
      </c>
      <c r="O34" s="2" t="s">
        <v>22</v>
      </c>
      <c r="P34" s="3" t="s">
        <v>23</v>
      </c>
      <c r="Q34" s="5" t="s">
        <v>23</v>
      </c>
      <c r="R34" s="2">
        <f>--(Table1[[#This Row],[Propane P/F]]="FAIL")</f>
        <v>0</v>
      </c>
      <c r="S34" s="2">
        <f>--(Table1[[#This Row],[Isobutane P/F]]="FAIL")</f>
        <v>0</v>
      </c>
      <c r="T34" s="18">
        <f>--(Table1[[#This Row],[n-Butane P/F]]="FAIL")</f>
        <v>0</v>
      </c>
      <c r="U34" s="18">
        <f>--(Table1[[#This Row],[VP P/F]]="FAIL")</f>
        <v>0</v>
      </c>
      <c r="V34" s="18">
        <f>--(Table1[[#This Row],[Density P/F]]="FAIL")</f>
        <v>1</v>
      </c>
    </row>
    <row r="35" spans="1:22" x14ac:dyDescent="0.35">
      <c r="A35" s="4">
        <v>34</v>
      </c>
      <c r="B35" s="1" t="s">
        <v>95</v>
      </c>
      <c r="C35" s="1" t="s">
        <v>96</v>
      </c>
      <c r="D35" s="1" t="s">
        <v>90</v>
      </c>
      <c r="E35" s="1" t="s">
        <v>20</v>
      </c>
      <c r="F35" s="1" t="s">
        <v>21</v>
      </c>
      <c r="G35" s="1">
        <v>8.1999999999999993</v>
      </c>
      <c r="H35" s="1">
        <v>30.68</v>
      </c>
      <c r="I35" s="1">
        <v>61.13</v>
      </c>
      <c r="J35" s="1">
        <v>3.54</v>
      </c>
      <c r="K35" s="1">
        <v>0.56640000000000001</v>
      </c>
      <c r="L35" s="2" t="s">
        <v>22</v>
      </c>
      <c r="M35" s="2" t="s">
        <v>22</v>
      </c>
      <c r="N35" s="2" t="s">
        <v>22</v>
      </c>
      <c r="O35" s="2" t="s">
        <v>22</v>
      </c>
      <c r="P35" s="2" t="s">
        <v>22</v>
      </c>
      <c r="Q35" s="6" t="s">
        <v>22</v>
      </c>
      <c r="R35" s="2">
        <f>--(Table1[[#This Row],[Propane P/F]]="FAIL")</f>
        <v>0</v>
      </c>
      <c r="S35" s="2">
        <f>--(Table1[[#This Row],[Isobutane P/F]]="FAIL")</f>
        <v>0</v>
      </c>
      <c r="T35" s="18">
        <f>--(Table1[[#This Row],[n-Butane P/F]]="FAIL")</f>
        <v>0</v>
      </c>
      <c r="U35" s="18">
        <f>--(Table1[[#This Row],[VP P/F]]="FAIL")</f>
        <v>0</v>
      </c>
      <c r="V35" s="18">
        <f>--(Table1[[#This Row],[Density P/F]]="FAIL")</f>
        <v>0</v>
      </c>
    </row>
    <row r="36" spans="1:22" hidden="1" x14ac:dyDescent="0.35">
      <c r="A36" s="4">
        <v>35</v>
      </c>
      <c r="B36" s="1" t="s">
        <v>97</v>
      </c>
      <c r="C36" s="1" t="s">
        <v>98</v>
      </c>
      <c r="D36" s="1" t="s">
        <v>90</v>
      </c>
      <c r="E36" s="1" t="s">
        <v>20</v>
      </c>
      <c r="F36" s="1" t="s">
        <v>32</v>
      </c>
      <c r="G36" s="1">
        <v>0.37</v>
      </c>
      <c r="H36" s="1">
        <v>39.51</v>
      </c>
      <c r="I36" s="1">
        <v>58.89</v>
      </c>
      <c r="J36" s="1">
        <v>3.02</v>
      </c>
      <c r="K36" s="1">
        <v>0.5857</v>
      </c>
      <c r="L36" s="2" t="s">
        <v>22</v>
      </c>
      <c r="M36" s="2" t="s">
        <v>22</v>
      </c>
      <c r="N36" s="2" t="s">
        <v>22</v>
      </c>
      <c r="O36" s="2" t="s">
        <v>22</v>
      </c>
      <c r="P36" s="3" t="s">
        <v>23</v>
      </c>
      <c r="Q36" s="5" t="s">
        <v>23</v>
      </c>
      <c r="R36" s="2">
        <f>--(Table1[[#This Row],[Propane P/F]]="FAIL")</f>
        <v>0</v>
      </c>
      <c r="S36" s="2">
        <f>--(Table1[[#This Row],[Isobutane P/F]]="FAIL")</f>
        <v>0</v>
      </c>
      <c r="T36" s="18">
        <f>--(Table1[[#This Row],[n-Butane P/F]]="FAIL")</f>
        <v>0</v>
      </c>
      <c r="U36" s="18">
        <f>--(Table1[[#This Row],[VP P/F]]="FAIL")</f>
        <v>0</v>
      </c>
      <c r="V36" s="18">
        <f>--(Table1[[#This Row],[Density P/F]]="FAIL")</f>
        <v>1</v>
      </c>
    </row>
    <row r="37" spans="1:22" x14ac:dyDescent="0.35">
      <c r="A37" s="4">
        <v>36</v>
      </c>
      <c r="B37" s="1" t="s">
        <v>99</v>
      </c>
      <c r="C37" s="1" t="s">
        <v>100</v>
      </c>
      <c r="D37" s="1" t="s">
        <v>101</v>
      </c>
      <c r="E37" s="1" t="s">
        <v>20</v>
      </c>
      <c r="F37" s="1" t="s">
        <v>21</v>
      </c>
      <c r="G37" s="1">
        <v>14.96</v>
      </c>
      <c r="H37" s="1">
        <v>37.9</v>
      </c>
      <c r="I37" s="1">
        <v>52.95</v>
      </c>
      <c r="J37" s="1">
        <v>3.52</v>
      </c>
      <c r="K37" s="1">
        <v>0.56059999999999999</v>
      </c>
      <c r="L37" s="2" t="s">
        <v>22</v>
      </c>
      <c r="M37" s="2" t="s">
        <v>22</v>
      </c>
      <c r="N37" s="2" t="s">
        <v>22</v>
      </c>
      <c r="O37" s="2" t="s">
        <v>22</v>
      </c>
      <c r="P37" s="2" t="s">
        <v>22</v>
      </c>
      <c r="Q37" s="6" t="s">
        <v>22</v>
      </c>
      <c r="R37" s="2">
        <f>--(Table1[[#This Row],[Propane P/F]]="FAIL")</f>
        <v>0</v>
      </c>
      <c r="S37" s="2">
        <f>--(Table1[[#This Row],[Isobutane P/F]]="FAIL")</f>
        <v>0</v>
      </c>
      <c r="T37" s="18">
        <f>--(Table1[[#This Row],[n-Butane P/F]]="FAIL")</f>
        <v>0</v>
      </c>
      <c r="U37" s="18">
        <f>--(Table1[[#This Row],[VP P/F]]="FAIL")</f>
        <v>0</v>
      </c>
      <c r="V37" s="18">
        <f>--(Table1[[#This Row],[Density P/F]]="FAIL")</f>
        <v>0</v>
      </c>
    </row>
    <row r="38" spans="1:22" x14ac:dyDescent="0.35">
      <c r="A38" s="4">
        <v>37</v>
      </c>
      <c r="B38" s="1" t="s">
        <v>102</v>
      </c>
      <c r="C38" s="1" t="s">
        <v>103</v>
      </c>
      <c r="D38" s="1" t="s">
        <v>101</v>
      </c>
      <c r="E38" s="1" t="s">
        <v>20</v>
      </c>
      <c r="F38" s="1" t="s">
        <v>21</v>
      </c>
      <c r="G38" s="1">
        <v>14.26</v>
      </c>
      <c r="H38" s="1">
        <v>33.92</v>
      </c>
      <c r="I38" s="1">
        <v>54.48</v>
      </c>
      <c r="J38" s="1">
        <v>4.07</v>
      </c>
      <c r="K38" s="1">
        <v>0.56430000000000002</v>
      </c>
      <c r="L38" s="2" t="s">
        <v>22</v>
      </c>
      <c r="M38" s="2" t="s">
        <v>22</v>
      </c>
      <c r="N38" s="2" t="s">
        <v>22</v>
      </c>
      <c r="O38" s="2" t="s">
        <v>22</v>
      </c>
      <c r="P38" s="2" t="s">
        <v>22</v>
      </c>
      <c r="Q38" s="6" t="s">
        <v>22</v>
      </c>
      <c r="R38" s="2">
        <f>--(Table1[[#This Row],[Propane P/F]]="FAIL")</f>
        <v>0</v>
      </c>
      <c r="S38" s="2">
        <f>--(Table1[[#This Row],[Isobutane P/F]]="FAIL")</f>
        <v>0</v>
      </c>
      <c r="T38" s="18">
        <f>--(Table1[[#This Row],[n-Butane P/F]]="FAIL")</f>
        <v>0</v>
      </c>
      <c r="U38" s="18">
        <f>--(Table1[[#This Row],[VP P/F]]="FAIL")</f>
        <v>0</v>
      </c>
      <c r="V38" s="18">
        <f>--(Table1[[#This Row],[Density P/F]]="FAIL")</f>
        <v>0</v>
      </c>
    </row>
    <row r="39" spans="1:22" x14ac:dyDescent="0.35">
      <c r="A39" s="4">
        <v>38</v>
      </c>
      <c r="B39" s="1" t="s">
        <v>104</v>
      </c>
      <c r="C39" s="1" t="s">
        <v>105</v>
      </c>
      <c r="D39" s="1" t="s">
        <v>101</v>
      </c>
      <c r="E39" s="1" t="s">
        <v>20</v>
      </c>
      <c r="F39" s="1" t="s">
        <v>21</v>
      </c>
      <c r="G39" s="1">
        <v>17.149999999999999</v>
      </c>
      <c r="H39" s="1">
        <v>22.66</v>
      </c>
      <c r="I39" s="1">
        <v>59.32</v>
      </c>
      <c r="J39" s="1">
        <v>3.69</v>
      </c>
      <c r="K39" s="1">
        <v>0.55810000000000004</v>
      </c>
      <c r="L39" s="2" t="s">
        <v>22</v>
      </c>
      <c r="M39" s="2" t="s">
        <v>22</v>
      </c>
      <c r="N39" s="2" t="s">
        <v>22</v>
      </c>
      <c r="O39" s="2" t="s">
        <v>22</v>
      </c>
      <c r="P39" s="3" t="s">
        <v>23</v>
      </c>
      <c r="Q39" s="5" t="s">
        <v>23</v>
      </c>
      <c r="R39" s="2">
        <f>--(Table1[[#This Row],[Propane P/F]]="FAIL")</f>
        <v>0</v>
      </c>
      <c r="S39" s="2">
        <f>--(Table1[[#This Row],[Isobutane P/F]]="FAIL")</f>
        <v>0</v>
      </c>
      <c r="T39" s="18">
        <f>--(Table1[[#This Row],[n-Butane P/F]]="FAIL")</f>
        <v>0</v>
      </c>
      <c r="U39" s="18">
        <f>--(Table1[[#This Row],[VP P/F]]="FAIL")</f>
        <v>0</v>
      </c>
      <c r="V39" s="18">
        <f>--(Table1[[#This Row],[Density P/F]]="FAIL")</f>
        <v>1</v>
      </c>
    </row>
    <row r="40" spans="1:22" x14ac:dyDescent="0.35">
      <c r="A40" s="4">
        <v>39</v>
      </c>
      <c r="B40" s="1" t="s">
        <v>106</v>
      </c>
      <c r="C40" s="1" t="s">
        <v>107</v>
      </c>
      <c r="D40" s="1" t="s">
        <v>101</v>
      </c>
      <c r="E40" s="1" t="s">
        <v>20</v>
      </c>
      <c r="F40" s="1" t="s">
        <v>21</v>
      </c>
      <c r="G40" s="1">
        <v>10.14</v>
      </c>
      <c r="H40" s="1">
        <v>34.340000000000003</v>
      </c>
      <c r="I40" s="1">
        <v>62.14</v>
      </c>
      <c r="J40" s="1">
        <v>3.85</v>
      </c>
      <c r="K40" s="1">
        <v>0.55820000000000003</v>
      </c>
      <c r="L40" s="2" t="s">
        <v>22</v>
      </c>
      <c r="M40" s="2" t="s">
        <v>22</v>
      </c>
      <c r="N40" s="2" t="s">
        <v>22</v>
      </c>
      <c r="O40" s="2" t="s">
        <v>22</v>
      </c>
      <c r="P40" s="3" t="s">
        <v>23</v>
      </c>
      <c r="Q40" s="5" t="s">
        <v>23</v>
      </c>
      <c r="R40" s="2">
        <f>--(Table1[[#This Row],[Propane P/F]]="FAIL")</f>
        <v>0</v>
      </c>
      <c r="S40" s="2">
        <f>--(Table1[[#This Row],[Isobutane P/F]]="FAIL")</f>
        <v>0</v>
      </c>
      <c r="T40" s="18">
        <f>--(Table1[[#This Row],[n-Butane P/F]]="FAIL")</f>
        <v>0</v>
      </c>
      <c r="U40" s="18">
        <f>--(Table1[[#This Row],[VP P/F]]="FAIL")</f>
        <v>0</v>
      </c>
      <c r="V40" s="18">
        <f>--(Table1[[#This Row],[Density P/F]]="FAIL")</f>
        <v>1</v>
      </c>
    </row>
    <row r="41" spans="1:22" hidden="1" x14ac:dyDescent="0.35">
      <c r="A41" s="4">
        <v>40</v>
      </c>
      <c r="B41" s="1" t="s">
        <v>108</v>
      </c>
      <c r="C41" s="1" t="s">
        <v>109</v>
      </c>
      <c r="D41" s="1" t="s">
        <v>101</v>
      </c>
      <c r="E41" s="1" t="s">
        <v>20</v>
      </c>
      <c r="F41" s="1" t="s">
        <v>32</v>
      </c>
      <c r="G41" s="1">
        <v>0.74</v>
      </c>
      <c r="H41" s="1">
        <v>40.36</v>
      </c>
      <c r="I41" s="1">
        <v>67.23</v>
      </c>
      <c r="J41" s="1">
        <v>3.08</v>
      </c>
      <c r="K41" s="1">
        <v>0.57240000000000002</v>
      </c>
      <c r="L41" s="2" t="s">
        <v>22</v>
      </c>
      <c r="M41" s="2" t="s">
        <v>22</v>
      </c>
      <c r="N41" s="3" t="s">
        <v>23</v>
      </c>
      <c r="O41" s="2" t="s">
        <v>22</v>
      </c>
      <c r="P41" s="2" t="s">
        <v>22</v>
      </c>
      <c r="Q41" s="5" t="s">
        <v>23</v>
      </c>
      <c r="R41" s="2">
        <f>--(Table1[[#This Row],[Propane P/F]]="FAIL")</f>
        <v>0</v>
      </c>
      <c r="S41" s="2">
        <f>--(Table1[[#This Row],[Isobutane P/F]]="FAIL")</f>
        <v>0</v>
      </c>
      <c r="T41" s="18">
        <f>--(Table1[[#This Row],[n-Butane P/F]]="FAIL")</f>
        <v>1</v>
      </c>
      <c r="U41" s="18">
        <f>--(Table1[[#This Row],[VP P/F]]="FAIL")</f>
        <v>0</v>
      </c>
      <c r="V41" s="18">
        <f>--(Table1[[#This Row],[Density P/F]]="FAIL")</f>
        <v>0</v>
      </c>
    </row>
    <row r="42" spans="1:22" x14ac:dyDescent="0.35">
      <c r="A42" s="4">
        <v>41</v>
      </c>
      <c r="B42" s="1" t="s">
        <v>110</v>
      </c>
      <c r="C42" s="1" t="s">
        <v>111</v>
      </c>
      <c r="D42" s="1" t="s">
        <v>112</v>
      </c>
      <c r="E42" s="1" t="s">
        <v>20</v>
      </c>
      <c r="F42" s="1" t="s">
        <v>21</v>
      </c>
      <c r="G42" s="1">
        <v>9.52</v>
      </c>
      <c r="H42" s="1">
        <v>25.49</v>
      </c>
      <c r="I42" s="1">
        <v>52.26</v>
      </c>
      <c r="J42" s="1">
        <v>4.22</v>
      </c>
      <c r="K42" s="1">
        <v>0.57920000000000005</v>
      </c>
      <c r="L42" s="2" t="s">
        <v>22</v>
      </c>
      <c r="M42" s="2" t="s">
        <v>22</v>
      </c>
      <c r="N42" s="2" t="s">
        <v>22</v>
      </c>
      <c r="O42" s="2" t="s">
        <v>22</v>
      </c>
      <c r="P42" s="2" t="s">
        <v>22</v>
      </c>
      <c r="Q42" s="6" t="s">
        <v>22</v>
      </c>
      <c r="R42" s="2">
        <f>--(Table1[[#This Row],[Propane P/F]]="FAIL")</f>
        <v>0</v>
      </c>
      <c r="S42" s="2">
        <f>--(Table1[[#This Row],[Isobutane P/F]]="FAIL")</f>
        <v>0</v>
      </c>
      <c r="T42" s="18">
        <f>--(Table1[[#This Row],[n-Butane P/F]]="FAIL")</f>
        <v>0</v>
      </c>
      <c r="U42" s="18">
        <f>--(Table1[[#This Row],[VP P/F]]="FAIL")</f>
        <v>0</v>
      </c>
      <c r="V42" s="18">
        <f>--(Table1[[#This Row],[Density P/F]]="FAIL")</f>
        <v>0</v>
      </c>
    </row>
    <row r="43" spans="1:22" x14ac:dyDescent="0.35">
      <c r="A43" s="4">
        <v>42</v>
      </c>
      <c r="B43" s="1" t="s">
        <v>113</v>
      </c>
      <c r="C43" s="1" t="s">
        <v>114</v>
      </c>
      <c r="D43" s="1" t="s">
        <v>112</v>
      </c>
      <c r="E43" s="1" t="s">
        <v>20</v>
      </c>
      <c r="F43" s="1" t="s">
        <v>21</v>
      </c>
      <c r="G43" s="1">
        <v>8.85</v>
      </c>
      <c r="H43" s="1">
        <v>37.74</v>
      </c>
      <c r="I43" s="1">
        <v>69.02</v>
      </c>
      <c r="J43" s="1">
        <v>4.43</v>
      </c>
      <c r="K43" s="1">
        <v>0.55789999999999995</v>
      </c>
      <c r="L43" s="2" t="s">
        <v>22</v>
      </c>
      <c r="M43" s="2" t="s">
        <v>22</v>
      </c>
      <c r="N43" s="2" t="s">
        <v>22</v>
      </c>
      <c r="O43" s="2" t="s">
        <v>22</v>
      </c>
      <c r="P43" s="3" t="s">
        <v>23</v>
      </c>
      <c r="Q43" s="5" t="s">
        <v>23</v>
      </c>
      <c r="R43" s="2">
        <f>--(Table1[[#This Row],[Propane P/F]]="FAIL")</f>
        <v>0</v>
      </c>
      <c r="S43" s="2">
        <f>--(Table1[[#This Row],[Isobutane P/F]]="FAIL")</f>
        <v>0</v>
      </c>
      <c r="T43" s="18">
        <f>--(Table1[[#This Row],[n-Butane P/F]]="FAIL")</f>
        <v>0</v>
      </c>
      <c r="U43" s="18">
        <f>--(Table1[[#This Row],[VP P/F]]="FAIL")</f>
        <v>0</v>
      </c>
      <c r="V43" s="18">
        <f>--(Table1[[#This Row],[Density P/F]]="FAIL")</f>
        <v>1</v>
      </c>
    </row>
    <row r="44" spans="1:22" x14ac:dyDescent="0.35">
      <c r="A44" s="4">
        <v>43</v>
      </c>
      <c r="B44" s="1" t="s">
        <v>115</v>
      </c>
      <c r="C44" s="1" t="s">
        <v>116</v>
      </c>
      <c r="D44" s="1" t="s">
        <v>112</v>
      </c>
      <c r="E44" s="1" t="s">
        <v>20</v>
      </c>
      <c r="F44" s="1" t="s">
        <v>21</v>
      </c>
      <c r="G44" s="1">
        <v>10.99</v>
      </c>
      <c r="H44" s="1">
        <v>37.75</v>
      </c>
      <c r="I44" s="1">
        <v>67.650000000000006</v>
      </c>
      <c r="J44" s="1">
        <v>4.3099999999999996</v>
      </c>
      <c r="K44" s="1">
        <v>0.57750000000000001</v>
      </c>
      <c r="L44" s="2" t="s">
        <v>22</v>
      </c>
      <c r="M44" s="2" t="s">
        <v>22</v>
      </c>
      <c r="N44" s="2" t="s">
        <v>22</v>
      </c>
      <c r="O44" s="2" t="s">
        <v>22</v>
      </c>
      <c r="P44" s="2" t="s">
        <v>22</v>
      </c>
      <c r="Q44" s="6" t="s">
        <v>22</v>
      </c>
      <c r="R44" s="2">
        <f>--(Table1[[#This Row],[Propane P/F]]="FAIL")</f>
        <v>0</v>
      </c>
      <c r="S44" s="2">
        <f>--(Table1[[#This Row],[Isobutane P/F]]="FAIL")</f>
        <v>0</v>
      </c>
      <c r="T44" s="18">
        <f>--(Table1[[#This Row],[n-Butane P/F]]="FAIL")</f>
        <v>0</v>
      </c>
      <c r="U44" s="18">
        <f>--(Table1[[#This Row],[VP P/F]]="FAIL")</f>
        <v>0</v>
      </c>
      <c r="V44" s="18">
        <f>--(Table1[[#This Row],[Density P/F]]="FAIL")</f>
        <v>0</v>
      </c>
    </row>
    <row r="45" spans="1:22" x14ac:dyDescent="0.35">
      <c r="A45" s="4">
        <v>44</v>
      </c>
      <c r="B45" s="1" t="s">
        <v>117</v>
      </c>
      <c r="C45" s="1" t="s">
        <v>118</v>
      </c>
      <c r="D45" s="1" t="s">
        <v>112</v>
      </c>
      <c r="E45" s="1" t="s">
        <v>20</v>
      </c>
      <c r="F45" s="1" t="s">
        <v>21</v>
      </c>
      <c r="G45" s="1">
        <v>8.3000000000000007</v>
      </c>
      <c r="H45" s="1">
        <v>36.700000000000003</v>
      </c>
      <c r="I45" s="1">
        <v>68.89</v>
      </c>
      <c r="J45" s="1">
        <v>3.63</v>
      </c>
      <c r="K45" s="1">
        <v>0.5776</v>
      </c>
      <c r="L45" s="2" t="s">
        <v>22</v>
      </c>
      <c r="M45" s="2" t="s">
        <v>22</v>
      </c>
      <c r="N45" s="2" t="s">
        <v>22</v>
      </c>
      <c r="O45" s="2" t="s">
        <v>22</v>
      </c>
      <c r="P45" s="2" t="s">
        <v>22</v>
      </c>
      <c r="Q45" s="6" t="s">
        <v>22</v>
      </c>
      <c r="R45" s="2">
        <f>--(Table1[[#This Row],[Propane P/F]]="FAIL")</f>
        <v>0</v>
      </c>
      <c r="S45" s="2">
        <f>--(Table1[[#This Row],[Isobutane P/F]]="FAIL")</f>
        <v>0</v>
      </c>
      <c r="T45" s="18">
        <f>--(Table1[[#This Row],[n-Butane P/F]]="FAIL")</f>
        <v>0</v>
      </c>
      <c r="U45" s="18">
        <f>--(Table1[[#This Row],[VP P/F]]="FAIL")</f>
        <v>0</v>
      </c>
      <c r="V45" s="18">
        <f>--(Table1[[#This Row],[Density P/F]]="FAIL")</f>
        <v>0</v>
      </c>
    </row>
    <row r="46" spans="1:22" hidden="1" x14ac:dyDescent="0.35">
      <c r="A46" s="4">
        <v>45</v>
      </c>
      <c r="B46" s="1" t="s">
        <v>119</v>
      </c>
      <c r="C46" s="1" t="s">
        <v>120</v>
      </c>
      <c r="D46" s="1" t="s">
        <v>112</v>
      </c>
      <c r="E46" s="1" t="s">
        <v>20</v>
      </c>
      <c r="F46" s="1" t="s">
        <v>32</v>
      </c>
      <c r="G46" s="1">
        <v>0.68</v>
      </c>
      <c r="H46" s="1">
        <v>37.82</v>
      </c>
      <c r="I46" s="1">
        <v>54.21</v>
      </c>
      <c r="J46" s="1">
        <v>2.99</v>
      </c>
      <c r="K46" s="1">
        <v>0.57530000000000003</v>
      </c>
      <c r="L46" s="2" t="s">
        <v>22</v>
      </c>
      <c r="M46" s="2" t="s">
        <v>22</v>
      </c>
      <c r="N46" s="2" t="s">
        <v>22</v>
      </c>
      <c r="O46" s="2" t="s">
        <v>22</v>
      </c>
      <c r="P46" s="2" t="s">
        <v>22</v>
      </c>
      <c r="Q46" s="6" t="s">
        <v>22</v>
      </c>
      <c r="R46" s="2">
        <f>--(Table1[[#This Row],[Propane P/F]]="FAIL")</f>
        <v>0</v>
      </c>
      <c r="S46" s="2">
        <f>--(Table1[[#This Row],[Isobutane P/F]]="FAIL")</f>
        <v>0</v>
      </c>
      <c r="T46" s="18">
        <f>--(Table1[[#This Row],[n-Butane P/F]]="FAIL")</f>
        <v>0</v>
      </c>
      <c r="U46" s="18">
        <f>--(Table1[[#This Row],[VP P/F]]="FAIL")</f>
        <v>0</v>
      </c>
      <c r="V46" s="18">
        <f>--(Table1[[#This Row],[Density P/F]]="FAIL")</f>
        <v>0</v>
      </c>
    </row>
    <row r="47" spans="1:22" x14ac:dyDescent="0.35">
      <c r="A47" s="4">
        <v>46</v>
      </c>
      <c r="B47" s="1" t="s">
        <v>121</v>
      </c>
      <c r="C47" s="1" t="s">
        <v>122</v>
      </c>
      <c r="D47" s="1" t="s">
        <v>123</v>
      </c>
      <c r="E47" s="1" t="s">
        <v>20</v>
      </c>
      <c r="F47" s="1" t="s">
        <v>21</v>
      </c>
      <c r="G47" s="1">
        <v>15.15</v>
      </c>
      <c r="H47" s="1">
        <v>36.19</v>
      </c>
      <c r="I47" s="1">
        <v>57.29</v>
      </c>
      <c r="J47" s="1">
        <v>3.43</v>
      </c>
      <c r="K47" s="1">
        <v>0.57899999999999996</v>
      </c>
      <c r="L47" s="2" t="s">
        <v>22</v>
      </c>
      <c r="M47" s="2" t="s">
        <v>22</v>
      </c>
      <c r="N47" s="2" t="s">
        <v>22</v>
      </c>
      <c r="O47" s="2" t="s">
        <v>22</v>
      </c>
      <c r="P47" s="2" t="s">
        <v>22</v>
      </c>
      <c r="Q47" s="6" t="s">
        <v>22</v>
      </c>
      <c r="R47" s="2">
        <f>--(Table1[[#This Row],[Propane P/F]]="FAIL")</f>
        <v>0</v>
      </c>
      <c r="S47" s="2">
        <f>--(Table1[[#This Row],[Isobutane P/F]]="FAIL")</f>
        <v>0</v>
      </c>
      <c r="T47" s="18">
        <f>--(Table1[[#This Row],[n-Butane P/F]]="FAIL")</f>
        <v>0</v>
      </c>
      <c r="U47" s="18">
        <f>--(Table1[[#This Row],[VP P/F]]="FAIL")</f>
        <v>0</v>
      </c>
      <c r="V47" s="18">
        <f>--(Table1[[#This Row],[Density P/F]]="FAIL")</f>
        <v>0</v>
      </c>
    </row>
    <row r="48" spans="1:22" x14ac:dyDescent="0.35">
      <c r="A48" s="4">
        <v>47</v>
      </c>
      <c r="B48" s="1" t="s">
        <v>124</v>
      </c>
      <c r="C48" s="1" t="s">
        <v>125</v>
      </c>
      <c r="D48" s="1" t="s">
        <v>123</v>
      </c>
      <c r="E48" s="1" t="s">
        <v>20</v>
      </c>
      <c r="F48" s="1" t="s">
        <v>21</v>
      </c>
      <c r="G48" s="1">
        <v>18.8</v>
      </c>
      <c r="H48" s="1">
        <v>21.69</v>
      </c>
      <c r="I48" s="1">
        <v>63.12</v>
      </c>
      <c r="J48" s="1">
        <v>3.76</v>
      </c>
      <c r="K48" s="1">
        <v>0.57689999999999997</v>
      </c>
      <c r="L48" s="2" t="s">
        <v>22</v>
      </c>
      <c r="M48" s="2" t="s">
        <v>22</v>
      </c>
      <c r="N48" s="2" t="s">
        <v>22</v>
      </c>
      <c r="O48" s="2" t="s">
        <v>22</v>
      </c>
      <c r="P48" s="2" t="s">
        <v>22</v>
      </c>
      <c r="Q48" s="6" t="s">
        <v>22</v>
      </c>
      <c r="R48" s="2">
        <f>--(Table1[[#This Row],[Propane P/F]]="FAIL")</f>
        <v>0</v>
      </c>
      <c r="S48" s="2">
        <f>--(Table1[[#This Row],[Isobutane P/F]]="FAIL")</f>
        <v>0</v>
      </c>
      <c r="T48" s="18">
        <f>--(Table1[[#This Row],[n-Butane P/F]]="FAIL")</f>
        <v>0</v>
      </c>
      <c r="U48" s="18">
        <f>--(Table1[[#This Row],[VP P/F]]="FAIL")</f>
        <v>0</v>
      </c>
      <c r="V48" s="18">
        <f>--(Table1[[#This Row],[Density P/F]]="FAIL")</f>
        <v>0</v>
      </c>
    </row>
    <row r="49" spans="1:22" x14ac:dyDescent="0.35">
      <c r="A49" s="4">
        <v>48</v>
      </c>
      <c r="B49" s="1" t="s">
        <v>126</v>
      </c>
      <c r="C49" s="1" t="s">
        <v>127</v>
      </c>
      <c r="D49" s="1" t="s">
        <v>123</v>
      </c>
      <c r="E49" s="1" t="s">
        <v>20</v>
      </c>
      <c r="F49" s="1" t="s">
        <v>21</v>
      </c>
      <c r="G49" s="1">
        <v>8.39</v>
      </c>
      <c r="H49" s="1">
        <v>37.19</v>
      </c>
      <c r="I49" s="1">
        <v>54.18</v>
      </c>
      <c r="J49" s="1">
        <v>3.45</v>
      </c>
      <c r="K49" s="1">
        <v>0.56850000000000001</v>
      </c>
      <c r="L49" s="2" t="s">
        <v>22</v>
      </c>
      <c r="M49" s="2" t="s">
        <v>22</v>
      </c>
      <c r="N49" s="2" t="s">
        <v>22</v>
      </c>
      <c r="O49" s="2" t="s">
        <v>22</v>
      </c>
      <c r="P49" s="2" t="s">
        <v>22</v>
      </c>
      <c r="Q49" s="6" t="s">
        <v>22</v>
      </c>
      <c r="R49" s="2">
        <f>--(Table1[[#This Row],[Propane P/F]]="FAIL")</f>
        <v>0</v>
      </c>
      <c r="S49" s="2">
        <f>--(Table1[[#This Row],[Isobutane P/F]]="FAIL")</f>
        <v>0</v>
      </c>
      <c r="T49" s="18">
        <f>--(Table1[[#This Row],[n-Butane P/F]]="FAIL")</f>
        <v>0</v>
      </c>
      <c r="U49" s="18">
        <f>--(Table1[[#This Row],[VP P/F]]="FAIL")</f>
        <v>0</v>
      </c>
      <c r="V49" s="18">
        <f>--(Table1[[#This Row],[Density P/F]]="FAIL")</f>
        <v>0</v>
      </c>
    </row>
    <row r="50" spans="1:22" x14ac:dyDescent="0.35">
      <c r="A50" s="4">
        <v>49</v>
      </c>
      <c r="B50" s="1" t="s">
        <v>128</v>
      </c>
      <c r="C50" s="1" t="s">
        <v>129</v>
      </c>
      <c r="D50" s="1" t="s">
        <v>123</v>
      </c>
      <c r="E50" s="1" t="s">
        <v>20</v>
      </c>
      <c r="F50" s="1" t="s">
        <v>21</v>
      </c>
      <c r="G50" s="1">
        <v>15.24</v>
      </c>
      <c r="H50" s="1">
        <v>37.92</v>
      </c>
      <c r="I50" s="1">
        <v>66.209999999999994</v>
      </c>
      <c r="J50" s="1">
        <v>3.61</v>
      </c>
      <c r="K50" s="1">
        <v>0.56840000000000002</v>
      </c>
      <c r="L50" s="2" t="s">
        <v>22</v>
      </c>
      <c r="M50" s="2" t="s">
        <v>22</v>
      </c>
      <c r="N50" s="2" t="s">
        <v>22</v>
      </c>
      <c r="O50" s="2" t="s">
        <v>22</v>
      </c>
      <c r="P50" s="2" t="s">
        <v>22</v>
      </c>
      <c r="Q50" s="6" t="s">
        <v>22</v>
      </c>
      <c r="R50" s="2">
        <f>--(Table1[[#This Row],[Propane P/F]]="FAIL")</f>
        <v>0</v>
      </c>
      <c r="S50" s="2">
        <f>--(Table1[[#This Row],[Isobutane P/F]]="FAIL")</f>
        <v>0</v>
      </c>
      <c r="T50" s="18">
        <f>--(Table1[[#This Row],[n-Butane P/F]]="FAIL")</f>
        <v>0</v>
      </c>
      <c r="U50" s="18">
        <f>--(Table1[[#This Row],[VP P/F]]="FAIL")</f>
        <v>0</v>
      </c>
      <c r="V50" s="18">
        <f>--(Table1[[#This Row],[Density P/F]]="FAIL")</f>
        <v>0</v>
      </c>
    </row>
    <row r="51" spans="1:22" hidden="1" x14ac:dyDescent="0.35">
      <c r="A51" s="4">
        <v>50</v>
      </c>
      <c r="B51" s="1" t="s">
        <v>130</v>
      </c>
      <c r="C51" s="1" t="s">
        <v>131</v>
      </c>
      <c r="D51" s="1" t="s">
        <v>123</v>
      </c>
      <c r="E51" s="1" t="s">
        <v>20</v>
      </c>
      <c r="F51" s="1" t="s">
        <v>32</v>
      </c>
      <c r="G51" s="1">
        <v>0.56999999999999995</v>
      </c>
      <c r="H51" s="1">
        <v>41.31</v>
      </c>
      <c r="I51" s="1">
        <v>55.12</v>
      </c>
      <c r="J51" s="1">
        <v>3.16</v>
      </c>
      <c r="K51" s="1">
        <v>0.57809999999999995</v>
      </c>
      <c r="L51" s="2" t="s">
        <v>22</v>
      </c>
      <c r="M51" s="2" t="s">
        <v>22</v>
      </c>
      <c r="N51" s="2" t="s">
        <v>22</v>
      </c>
      <c r="O51" s="2" t="s">
        <v>22</v>
      </c>
      <c r="P51" s="2" t="s">
        <v>22</v>
      </c>
      <c r="Q51" s="6" t="s">
        <v>22</v>
      </c>
      <c r="R51" s="2">
        <f>--(Table1[[#This Row],[Propane P/F]]="FAIL")</f>
        <v>0</v>
      </c>
      <c r="S51" s="2">
        <f>--(Table1[[#This Row],[Isobutane P/F]]="FAIL")</f>
        <v>0</v>
      </c>
      <c r="T51" s="18">
        <f>--(Table1[[#This Row],[n-Butane P/F]]="FAIL")</f>
        <v>0</v>
      </c>
      <c r="U51" s="18">
        <f>--(Table1[[#This Row],[VP P/F]]="FAIL")</f>
        <v>0</v>
      </c>
      <c r="V51" s="18">
        <f>--(Table1[[#This Row],[Density P/F]]="FAIL")</f>
        <v>0</v>
      </c>
    </row>
    <row r="52" spans="1:22" x14ac:dyDescent="0.35">
      <c r="A52" s="4">
        <v>51</v>
      </c>
      <c r="B52" s="1" t="s">
        <v>132</v>
      </c>
      <c r="C52" s="1" t="s">
        <v>133</v>
      </c>
      <c r="D52" s="1" t="s">
        <v>134</v>
      </c>
      <c r="E52" s="1" t="s">
        <v>20</v>
      </c>
      <c r="F52" s="1" t="s">
        <v>21</v>
      </c>
      <c r="G52" s="1">
        <v>12.05</v>
      </c>
      <c r="H52" s="1">
        <v>37.93</v>
      </c>
      <c r="I52" s="1">
        <v>64.900000000000006</v>
      </c>
      <c r="J52" s="1">
        <v>4.3499999999999996</v>
      </c>
      <c r="K52" s="1">
        <v>0.57279999999999998</v>
      </c>
      <c r="L52" s="2" t="s">
        <v>22</v>
      </c>
      <c r="M52" s="2" t="s">
        <v>22</v>
      </c>
      <c r="N52" s="2" t="s">
        <v>22</v>
      </c>
      <c r="O52" s="2" t="s">
        <v>22</v>
      </c>
      <c r="P52" s="2" t="s">
        <v>22</v>
      </c>
      <c r="Q52" s="6" t="s">
        <v>22</v>
      </c>
      <c r="R52" s="2">
        <f>--(Table1[[#This Row],[Propane P/F]]="FAIL")</f>
        <v>0</v>
      </c>
      <c r="S52" s="2">
        <f>--(Table1[[#This Row],[Isobutane P/F]]="FAIL")</f>
        <v>0</v>
      </c>
      <c r="T52" s="18">
        <f>--(Table1[[#This Row],[n-Butane P/F]]="FAIL")</f>
        <v>0</v>
      </c>
      <c r="U52" s="18">
        <f>--(Table1[[#This Row],[VP P/F]]="FAIL")</f>
        <v>0</v>
      </c>
      <c r="V52" s="18">
        <f>--(Table1[[#This Row],[Density P/F]]="FAIL")</f>
        <v>0</v>
      </c>
    </row>
    <row r="53" spans="1:22" x14ac:dyDescent="0.35">
      <c r="A53" s="4">
        <v>52</v>
      </c>
      <c r="B53" s="1" t="s">
        <v>135</v>
      </c>
      <c r="C53" s="1" t="s">
        <v>136</v>
      </c>
      <c r="D53" s="1" t="s">
        <v>134</v>
      </c>
      <c r="E53" s="1" t="s">
        <v>20</v>
      </c>
      <c r="F53" s="1" t="s">
        <v>21</v>
      </c>
      <c r="G53" s="1">
        <v>7</v>
      </c>
      <c r="H53" s="1">
        <v>26.16</v>
      </c>
      <c r="I53" s="1">
        <v>59.46</v>
      </c>
      <c r="J53" s="1">
        <v>4.01</v>
      </c>
      <c r="K53" s="1">
        <v>0.57369999999999999</v>
      </c>
      <c r="L53" s="2" t="s">
        <v>22</v>
      </c>
      <c r="M53" s="2" t="s">
        <v>22</v>
      </c>
      <c r="N53" s="2" t="s">
        <v>22</v>
      </c>
      <c r="O53" s="2" t="s">
        <v>22</v>
      </c>
      <c r="P53" s="2" t="s">
        <v>22</v>
      </c>
      <c r="Q53" s="6" t="s">
        <v>22</v>
      </c>
      <c r="R53" s="2">
        <f>--(Table1[[#This Row],[Propane P/F]]="FAIL")</f>
        <v>0</v>
      </c>
      <c r="S53" s="2">
        <f>--(Table1[[#This Row],[Isobutane P/F]]="FAIL")</f>
        <v>0</v>
      </c>
      <c r="T53" s="18">
        <f>--(Table1[[#This Row],[n-Butane P/F]]="FAIL")</f>
        <v>0</v>
      </c>
      <c r="U53" s="18">
        <f>--(Table1[[#This Row],[VP P/F]]="FAIL")</f>
        <v>0</v>
      </c>
      <c r="V53" s="18">
        <f>--(Table1[[#This Row],[Density P/F]]="FAIL")</f>
        <v>0</v>
      </c>
    </row>
    <row r="54" spans="1:22" x14ac:dyDescent="0.35">
      <c r="A54" s="4">
        <v>53</v>
      </c>
      <c r="B54" s="1" t="s">
        <v>137</v>
      </c>
      <c r="C54" s="1" t="s">
        <v>138</v>
      </c>
      <c r="D54" s="1" t="s">
        <v>134</v>
      </c>
      <c r="E54" s="1" t="s">
        <v>20</v>
      </c>
      <c r="F54" s="1" t="s">
        <v>21</v>
      </c>
      <c r="G54" s="1">
        <v>9.56</v>
      </c>
      <c r="H54" s="1">
        <v>29.52</v>
      </c>
      <c r="I54" s="1">
        <v>69.83</v>
      </c>
      <c r="J54" s="1">
        <v>4.24</v>
      </c>
      <c r="K54" s="1">
        <v>0.56210000000000004</v>
      </c>
      <c r="L54" s="2" t="s">
        <v>22</v>
      </c>
      <c r="M54" s="2" t="s">
        <v>22</v>
      </c>
      <c r="N54" s="2" t="s">
        <v>22</v>
      </c>
      <c r="O54" s="2" t="s">
        <v>22</v>
      </c>
      <c r="P54" s="2" t="s">
        <v>22</v>
      </c>
      <c r="Q54" s="6" t="s">
        <v>22</v>
      </c>
      <c r="R54" s="2">
        <f>--(Table1[[#This Row],[Propane P/F]]="FAIL")</f>
        <v>0</v>
      </c>
      <c r="S54" s="2">
        <f>--(Table1[[#This Row],[Isobutane P/F]]="FAIL")</f>
        <v>0</v>
      </c>
      <c r="T54" s="18">
        <f>--(Table1[[#This Row],[n-Butane P/F]]="FAIL")</f>
        <v>0</v>
      </c>
      <c r="U54" s="18">
        <f>--(Table1[[#This Row],[VP P/F]]="FAIL")</f>
        <v>0</v>
      </c>
      <c r="V54" s="18">
        <f>--(Table1[[#This Row],[Density P/F]]="FAIL")</f>
        <v>0</v>
      </c>
    </row>
    <row r="55" spans="1:22" x14ac:dyDescent="0.35">
      <c r="A55" s="4">
        <v>54</v>
      </c>
      <c r="B55" s="1" t="s">
        <v>139</v>
      </c>
      <c r="C55" s="1" t="s">
        <v>140</v>
      </c>
      <c r="D55" s="1" t="s">
        <v>134</v>
      </c>
      <c r="E55" s="1" t="s">
        <v>20</v>
      </c>
      <c r="F55" s="1" t="s">
        <v>21</v>
      </c>
      <c r="G55" s="1">
        <v>14.6</v>
      </c>
      <c r="H55" s="1">
        <v>27.03</v>
      </c>
      <c r="I55" s="1">
        <v>68.010000000000005</v>
      </c>
      <c r="J55" s="1">
        <v>4.1900000000000004</v>
      </c>
      <c r="K55" s="1">
        <v>0.57410000000000005</v>
      </c>
      <c r="L55" s="2" t="s">
        <v>22</v>
      </c>
      <c r="M55" s="2" t="s">
        <v>22</v>
      </c>
      <c r="N55" s="2" t="s">
        <v>22</v>
      </c>
      <c r="O55" s="2" t="s">
        <v>22</v>
      </c>
      <c r="P55" s="2" t="s">
        <v>22</v>
      </c>
      <c r="Q55" s="6" t="s">
        <v>22</v>
      </c>
      <c r="R55" s="2">
        <f>--(Table1[[#This Row],[Propane P/F]]="FAIL")</f>
        <v>0</v>
      </c>
      <c r="S55" s="2">
        <f>--(Table1[[#This Row],[Isobutane P/F]]="FAIL")</f>
        <v>0</v>
      </c>
      <c r="T55" s="18">
        <f>--(Table1[[#This Row],[n-Butane P/F]]="FAIL")</f>
        <v>0</v>
      </c>
      <c r="U55" s="18">
        <f>--(Table1[[#This Row],[VP P/F]]="FAIL")</f>
        <v>0</v>
      </c>
      <c r="V55" s="18">
        <f>--(Table1[[#This Row],[Density P/F]]="FAIL")</f>
        <v>0</v>
      </c>
    </row>
    <row r="56" spans="1:22" hidden="1" x14ac:dyDescent="0.35">
      <c r="A56" s="4">
        <v>55</v>
      </c>
      <c r="B56" s="1" t="s">
        <v>141</v>
      </c>
      <c r="C56" s="1" t="s">
        <v>142</v>
      </c>
      <c r="D56" s="1" t="s">
        <v>134</v>
      </c>
      <c r="E56" s="1" t="s">
        <v>20</v>
      </c>
      <c r="F56" s="1" t="s">
        <v>32</v>
      </c>
      <c r="G56" s="1">
        <v>0.21</v>
      </c>
      <c r="H56" s="1">
        <v>37.96</v>
      </c>
      <c r="I56" s="1">
        <v>58.28</v>
      </c>
      <c r="J56" s="1">
        <v>3.15</v>
      </c>
      <c r="K56" s="1">
        <v>0.57120000000000004</v>
      </c>
      <c r="L56" s="2" t="s">
        <v>22</v>
      </c>
      <c r="M56" s="2" t="s">
        <v>22</v>
      </c>
      <c r="N56" s="2" t="s">
        <v>22</v>
      </c>
      <c r="O56" s="2" t="s">
        <v>22</v>
      </c>
      <c r="P56" s="3" t="s">
        <v>23</v>
      </c>
      <c r="Q56" s="5" t="s">
        <v>23</v>
      </c>
      <c r="R56" s="2">
        <f>--(Table1[[#This Row],[Propane P/F]]="FAIL")</f>
        <v>0</v>
      </c>
      <c r="S56" s="2">
        <f>--(Table1[[#This Row],[Isobutane P/F]]="FAIL")</f>
        <v>0</v>
      </c>
      <c r="T56" s="18">
        <f>--(Table1[[#This Row],[n-Butane P/F]]="FAIL")</f>
        <v>0</v>
      </c>
      <c r="U56" s="18">
        <f>--(Table1[[#This Row],[VP P/F]]="FAIL")</f>
        <v>0</v>
      </c>
      <c r="V56" s="18">
        <f>--(Table1[[#This Row],[Density P/F]]="FAIL")</f>
        <v>1</v>
      </c>
    </row>
    <row r="57" spans="1:22" x14ac:dyDescent="0.35">
      <c r="A57" s="4">
        <v>56</v>
      </c>
      <c r="B57" s="1" t="s">
        <v>143</v>
      </c>
      <c r="C57" s="1" t="s">
        <v>144</v>
      </c>
      <c r="D57" s="1" t="s">
        <v>145</v>
      </c>
      <c r="E57" s="1" t="s">
        <v>20</v>
      </c>
      <c r="F57" s="1" t="s">
        <v>21</v>
      </c>
      <c r="G57" s="1">
        <v>8.77</v>
      </c>
      <c r="H57" s="1">
        <v>33.380000000000003</v>
      </c>
      <c r="I57" s="1">
        <v>69.64</v>
      </c>
      <c r="J57" s="1">
        <v>4.3</v>
      </c>
      <c r="K57" s="1">
        <v>0.57930000000000004</v>
      </c>
      <c r="L57" s="2" t="s">
        <v>22</v>
      </c>
      <c r="M57" s="2" t="s">
        <v>22</v>
      </c>
      <c r="N57" s="2" t="s">
        <v>22</v>
      </c>
      <c r="O57" s="2" t="s">
        <v>22</v>
      </c>
      <c r="P57" s="2" t="s">
        <v>22</v>
      </c>
      <c r="Q57" s="6" t="s">
        <v>22</v>
      </c>
      <c r="R57" s="2">
        <f>--(Table1[[#This Row],[Propane P/F]]="FAIL")</f>
        <v>0</v>
      </c>
      <c r="S57" s="2">
        <f>--(Table1[[#This Row],[Isobutane P/F]]="FAIL")</f>
        <v>0</v>
      </c>
      <c r="T57" s="18">
        <f>--(Table1[[#This Row],[n-Butane P/F]]="FAIL")</f>
        <v>0</v>
      </c>
      <c r="U57" s="18">
        <f>--(Table1[[#This Row],[VP P/F]]="FAIL")</f>
        <v>0</v>
      </c>
      <c r="V57" s="18">
        <f>--(Table1[[#This Row],[Density P/F]]="FAIL")</f>
        <v>0</v>
      </c>
    </row>
    <row r="58" spans="1:22" x14ac:dyDescent="0.35">
      <c r="A58" s="4">
        <v>57</v>
      </c>
      <c r="B58" s="1" t="s">
        <v>146</v>
      </c>
      <c r="C58" s="1" t="s">
        <v>147</v>
      </c>
      <c r="D58" s="1" t="s">
        <v>145</v>
      </c>
      <c r="E58" s="1" t="s">
        <v>20</v>
      </c>
      <c r="F58" s="1" t="s">
        <v>21</v>
      </c>
      <c r="G58" s="1">
        <v>16.649999999999999</v>
      </c>
      <c r="H58" s="1">
        <v>33.53</v>
      </c>
      <c r="I58" s="1">
        <v>60.22</v>
      </c>
      <c r="J58" s="1">
        <v>3.99</v>
      </c>
      <c r="K58" s="1">
        <v>0.57999999999999996</v>
      </c>
      <c r="L58" s="2" t="s">
        <v>22</v>
      </c>
      <c r="M58" s="2" t="s">
        <v>22</v>
      </c>
      <c r="N58" s="2" t="s">
        <v>22</v>
      </c>
      <c r="O58" s="2" t="s">
        <v>22</v>
      </c>
      <c r="P58" s="2" t="s">
        <v>22</v>
      </c>
      <c r="Q58" s="6" t="s">
        <v>22</v>
      </c>
      <c r="R58" s="2">
        <f>--(Table1[[#This Row],[Propane P/F]]="FAIL")</f>
        <v>0</v>
      </c>
      <c r="S58" s="2">
        <f>--(Table1[[#This Row],[Isobutane P/F]]="FAIL")</f>
        <v>0</v>
      </c>
      <c r="T58" s="18">
        <f>--(Table1[[#This Row],[n-Butane P/F]]="FAIL")</f>
        <v>0</v>
      </c>
      <c r="U58" s="18">
        <f>--(Table1[[#This Row],[VP P/F]]="FAIL")</f>
        <v>0</v>
      </c>
      <c r="V58" s="18">
        <f>--(Table1[[#This Row],[Density P/F]]="FAIL")</f>
        <v>0</v>
      </c>
    </row>
    <row r="59" spans="1:22" x14ac:dyDescent="0.35">
      <c r="A59" s="4">
        <v>58</v>
      </c>
      <c r="B59" s="1" t="s">
        <v>148</v>
      </c>
      <c r="C59" s="1" t="s">
        <v>149</v>
      </c>
      <c r="D59" s="1" t="s">
        <v>145</v>
      </c>
      <c r="E59" s="1" t="s">
        <v>20</v>
      </c>
      <c r="F59" s="1" t="s">
        <v>21</v>
      </c>
      <c r="G59" s="1">
        <v>12.58</v>
      </c>
      <c r="H59" s="1">
        <v>30.56</v>
      </c>
      <c r="I59" s="1">
        <v>62.3</v>
      </c>
      <c r="J59" s="1">
        <v>3.73</v>
      </c>
      <c r="K59" s="1">
        <v>0.57609999999999995</v>
      </c>
      <c r="L59" s="2" t="s">
        <v>22</v>
      </c>
      <c r="M59" s="2" t="s">
        <v>22</v>
      </c>
      <c r="N59" s="2" t="s">
        <v>22</v>
      </c>
      <c r="O59" s="2" t="s">
        <v>22</v>
      </c>
      <c r="P59" s="2" t="s">
        <v>22</v>
      </c>
      <c r="Q59" s="6" t="s">
        <v>22</v>
      </c>
      <c r="R59" s="2">
        <f>--(Table1[[#This Row],[Propane P/F]]="FAIL")</f>
        <v>0</v>
      </c>
      <c r="S59" s="2">
        <f>--(Table1[[#This Row],[Isobutane P/F]]="FAIL")</f>
        <v>0</v>
      </c>
      <c r="T59" s="18">
        <f>--(Table1[[#This Row],[n-Butane P/F]]="FAIL")</f>
        <v>0</v>
      </c>
      <c r="U59" s="18">
        <f>--(Table1[[#This Row],[VP P/F]]="FAIL")</f>
        <v>0</v>
      </c>
      <c r="V59" s="18">
        <f>--(Table1[[#This Row],[Density P/F]]="FAIL")</f>
        <v>0</v>
      </c>
    </row>
    <row r="60" spans="1:22" x14ac:dyDescent="0.35">
      <c r="A60" s="4">
        <v>59</v>
      </c>
      <c r="B60" s="1" t="s">
        <v>150</v>
      </c>
      <c r="C60" s="1" t="s">
        <v>151</v>
      </c>
      <c r="D60" s="1" t="s">
        <v>145</v>
      </c>
      <c r="E60" s="1" t="s">
        <v>20</v>
      </c>
      <c r="F60" s="1" t="s">
        <v>21</v>
      </c>
      <c r="G60" s="1">
        <v>17.7</v>
      </c>
      <c r="H60" s="1">
        <v>28.68</v>
      </c>
      <c r="I60" s="1">
        <v>69.95</v>
      </c>
      <c r="J60" s="1">
        <v>3.87</v>
      </c>
      <c r="K60" s="1">
        <v>0.56179999999999997</v>
      </c>
      <c r="L60" s="2" t="s">
        <v>22</v>
      </c>
      <c r="M60" s="2" t="s">
        <v>22</v>
      </c>
      <c r="N60" s="2" t="s">
        <v>22</v>
      </c>
      <c r="O60" s="2" t="s">
        <v>22</v>
      </c>
      <c r="P60" s="2" t="s">
        <v>22</v>
      </c>
      <c r="Q60" s="6" t="s">
        <v>22</v>
      </c>
      <c r="R60" s="2">
        <f>--(Table1[[#This Row],[Propane P/F]]="FAIL")</f>
        <v>0</v>
      </c>
      <c r="S60" s="2">
        <f>--(Table1[[#This Row],[Isobutane P/F]]="FAIL")</f>
        <v>0</v>
      </c>
      <c r="T60" s="18">
        <f>--(Table1[[#This Row],[n-Butane P/F]]="FAIL")</f>
        <v>0</v>
      </c>
      <c r="U60" s="18">
        <f>--(Table1[[#This Row],[VP P/F]]="FAIL")</f>
        <v>0</v>
      </c>
      <c r="V60" s="18">
        <f>--(Table1[[#This Row],[Density P/F]]="FAIL")</f>
        <v>0</v>
      </c>
    </row>
    <row r="61" spans="1:22" hidden="1" x14ac:dyDescent="0.35">
      <c r="A61" s="4">
        <v>60</v>
      </c>
      <c r="B61" s="1" t="s">
        <v>152</v>
      </c>
      <c r="C61" s="1" t="s">
        <v>153</v>
      </c>
      <c r="D61" s="1" t="s">
        <v>145</v>
      </c>
      <c r="E61" s="1" t="s">
        <v>20</v>
      </c>
      <c r="F61" s="1" t="s">
        <v>32</v>
      </c>
      <c r="G61" s="1">
        <v>0.65</v>
      </c>
      <c r="H61" s="1">
        <v>42.72</v>
      </c>
      <c r="I61" s="1">
        <v>56.5</v>
      </c>
      <c r="J61" s="1">
        <v>3.13</v>
      </c>
      <c r="K61" s="1">
        <v>0.57779999999999998</v>
      </c>
      <c r="L61" s="2" t="s">
        <v>22</v>
      </c>
      <c r="M61" s="2" t="s">
        <v>22</v>
      </c>
      <c r="N61" s="2" t="s">
        <v>22</v>
      </c>
      <c r="O61" s="2" t="s">
        <v>22</v>
      </c>
      <c r="P61" s="2" t="s">
        <v>22</v>
      </c>
      <c r="Q61" s="6" t="s">
        <v>22</v>
      </c>
      <c r="R61" s="2">
        <f>--(Table1[[#This Row],[Propane P/F]]="FAIL")</f>
        <v>0</v>
      </c>
      <c r="S61" s="2">
        <f>--(Table1[[#This Row],[Isobutane P/F]]="FAIL")</f>
        <v>0</v>
      </c>
      <c r="T61" s="18">
        <f>--(Table1[[#This Row],[n-Butane P/F]]="FAIL")</f>
        <v>0</v>
      </c>
      <c r="U61" s="18">
        <f>--(Table1[[#This Row],[VP P/F]]="FAIL")</f>
        <v>0</v>
      </c>
      <c r="V61" s="18">
        <f>--(Table1[[#This Row],[Density P/F]]="FAIL")</f>
        <v>0</v>
      </c>
    </row>
    <row r="62" spans="1:22" x14ac:dyDescent="0.35">
      <c r="A62" s="4">
        <v>61</v>
      </c>
      <c r="B62" s="1" t="s">
        <v>154</v>
      </c>
      <c r="C62" s="1" t="s">
        <v>155</v>
      </c>
      <c r="D62" s="1" t="s">
        <v>19</v>
      </c>
      <c r="E62" s="1" t="s">
        <v>156</v>
      </c>
      <c r="F62" s="1" t="s">
        <v>21</v>
      </c>
      <c r="G62" s="1">
        <v>10.84</v>
      </c>
      <c r="H62" s="1">
        <v>30.72</v>
      </c>
      <c r="I62" s="1">
        <v>53.04</v>
      </c>
      <c r="J62" s="1">
        <v>3.64</v>
      </c>
      <c r="K62" s="1">
        <v>0.57469999999999999</v>
      </c>
      <c r="L62" s="2" t="s">
        <v>22</v>
      </c>
      <c r="M62" s="2" t="s">
        <v>22</v>
      </c>
      <c r="N62" s="2" t="s">
        <v>22</v>
      </c>
      <c r="O62" s="2" t="s">
        <v>22</v>
      </c>
      <c r="P62" s="2" t="s">
        <v>22</v>
      </c>
      <c r="Q62" s="6" t="s">
        <v>22</v>
      </c>
      <c r="R62" s="2">
        <f>--(Table1[[#This Row],[Propane P/F]]="FAIL")</f>
        <v>0</v>
      </c>
      <c r="S62" s="2">
        <f>--(Table1[[#This Row],[Isobutane P/F]]="FAIL")</f>
        <v>0</v>
      </c>
      <c r="T62" s="18">
        <f>--(Table1[[#This Row],[n-Butane P/F]]="FAIL")</f>
        <v>0</v>
      </c>
      <c r="U62" s="18">
        <f>--(Table1[[#This Row],[VP P/F]]="FAIL")</f>
        <v>0</v>
      </c>
      <c r="V62" s="18">
        <f>--(Table1[[#This Row],[Density P/F]]="FAIL")</f>
        <v>0</v>
      </c>
    </row>
    <row r="63" spans="1:22" x14ac:dyDescent="0.35">
      <c r="A63" s="4">
        <v>62</v>
      </c>
      <c r="B63" s="1" t="s">
        <v>157</v>
      </c>
      <c r="C63" s="1" t="s">
        <v>158</v>
      </c>
      <c r="D63" s="1" t="s">
        <v>19</v>
      </c>
      <c r="E63" s="1" t="s">
        <v>156</v>
      </c>
      <c r="F63" s="1" t="s">
        <v>21</v>
      </c>
      <c r="G63" s="1">
        <v>11.89</v>
      </c>
      <c r="H63" s="1">
        <v>30.77</v>
      </c>
      <c r="I63" s="1">
        <v>59.15</v>
      </c>
      <c r="J63" s="1">
        <v>3.62</v>
      </c>
      <c r="K63" s="1">
        <v>0.56810000000000005</v>
      </c>
      <c r="L63" s="2" t="s">
        <v>22</v>
      </c>
      <c r="M63" s="2" t="s">
        <v>22</v>
      </c>
      <c r="N63" s="2" t="s">
        <v>22</v>
      </c>
      <c r="O63" s="2" t="s">
        <v>22</v>
      </c>
      <c r="P63" s="2" t="s">
        <v>22</v>
      </c>
      <c r="Q63" s="6" t="s">
        <v>22</v>
      </c>
      <c r="R63" s="2">
        <f>--(Table1[[#This Row],[Propane P/F]]="FAIL")</f>
        <v>0</v>
      </c>
      <c r="S63" s="2">
        <f>--(Table1[[#This Row],[Isobutane P/F]]="FAIL")</f>
        <v>0</v>
      </c>
      <c r="T63" s="18">
        <f>--(Table1[[#This Row],[n-Butane P/F]]="FAIL")</f>
        <v>0</v>
      </c>
      <c r="U63" s="18">
        <f>--(Table1[[#This Row],[VP P/F]]="FAIL")</f>
        <v>0</v>
      </c>
      <c r="V63" s="18">
        <f>--(Table1[[#This Row],[Density P/F]]="FAIL")</f>
        <v>0</v>
      </c>
    </row>
    <row r="64" spans="1:22" x14ac:dyDescent="0.35">
      <c r="A64" s="4">
        <v>63</v>
      </c>
      <c r="B64" s="1" t="s">
        <v>159</v>
      </c>
      <c r="C64" s="1" t="s">
        <v>160</v>
      </c>
      <c r="D64" s="1" t="s">
        <v>19</v>
      </c>
      <c r="E64" s="1" t="s">
        <v>156</v>
      </c>
      <c r="F64" s="1" t="s">
        <v>21</v>
      </c>
      <c r="G64" s="1">
        <v>15.35</v>
      </c>
      <c r="H64" s="1">
        <v>36.42</v>
      </c>
      <c r="I64" s="1">
        <v>66.84</v>
      </c>
      <c r="J64" s="1">
        <v>3.8</v>
      </c>
      <c r="K64" s="1">
        <v>0.55810000000000004</v>
      </c>
      <c r="L64" s="2" t="s">
        <v>22</v>
      </c>
      <c r="M64" s="2" t="s">
        <v>22</v>
      </c>
      <c r="N64" s="2" t="s">
        <v>22</v>
      </c>
      <c r="O64" s="2" t="s">
        <v>22</v>
      </c>
      <c r="P64" s="3" t="s">
        <v>23</v>
      </c>
      <c r="Q64" s="5" t="s">
        <v>23</v>
      </c>
      <c r="R64" s="2">
        <f>--(Table1[[#This Row],[Propane P/F]]="FAIL")</f>
        <v>0</v>
      </c>
      <c r="S64" s="2">
        <f>--(Table1[[#This Row],[Isobutane P/F]]="FAIL")</f>
        <v>0</v>
      </c>
      <c r="T64" s="18">
        <f>--(Table1[[#This Row],[n-Butane P/F]]="FAIL")</f>
        <v>0</v>
      </c>
      <c r="U64" s="18">
        <f>--(Table1[[#This Row],[VP P/F]]="FAIL")</f>
        <v>0</v>
      </c>
      <c r="V64" s="18">
        <f>--(Table1[[#This Row],[Density P/F]]="FAIL")</f>
        <v>1</v>
      </c>
    </row>
    <row r="65" spans="1:22" x14ac:dyDescent="0.35">
      <c r="A65" s="4">
        <v>64</v>
      </c>
      <c r="B65" s="1" t="s">
        <v>161</v>
      </c>
      <c r="C65" s="1" t="s">
        <v>162</v>
      </c>
      <c r="D65" s="1" t="s">
        <v>19</v>
      </c>
      <c r="E65" s="1" t="s">
        <v>156</v>
      </c>
      <c r="F65" s="1" t="s">
        <v>21</v>
      </c>
      <c r="G65" s="1">
        <v>17.239999999999998</v>
      </c>
      <c r="H65" s="1">
        <v>38.159999999999997</v>
      </c>
      <c r="I65" s="1">
        <v>59.22</v>
      </c>
      <c r="J65" s="1">
        <v>4.18</v>
      </c>
      <c r="K65" s="1">
        <v>0.57110000000000005</v>
      </c>
      <c r="L65" s="2" t="s">
        <v>22</v>
      </c>
      <c r="M65" s="2" t="s">
        <v>22</v>
      </c>
      <c r="N65" s="2" t="s">
        <v>22</v>
      </c>
      <c r="O65" s="2" t="s">
        <v>22</v>
      </c>
      <c r="P65" s="2" t="s">
        <v>22</v>
      </c>
      <c r="Q65" s="6" t="s">
        <v>22</v>
      </c>
      <c r="R65" s="2">
        <f>--(Table1[[#This Row],[Propane P/F]]="FAIL")</f>
        <v>0</v>
      </c>
      <c r="S65" s="2">
        <f>--(Table1[[#This Row],[Isobutane P/F]]="FAIL")</f>
        <v>0</v>
      </c>
      <c r="T65" s="18">
        <f>--(Table1[[#This Row],[n-Butane P/F]]="FAIL")</f>
        <v>0</v>
      </c>
      <c r="U65" s="18">
        <f>--(Table1[[#This Row],[VP P/F]]="FAIL")</f>
        <v>0</v>
      </c>
      <c r="V65" s="18">
        <f>--(Table1[[#This Row],[Density P/F]]="FAIL")</f>
        <v>0</v>
      </c>
    </row>
    <row r="66" spans="1:22" hidden="1" x14ac:dyDescent="0.35">
      <c r="A66" s="4">
        <v>65</v>
      </c>
      <c r="B66" s="1" t="s">
        <v>163</v>
      </c>
      <c r="C66" s="1" t="s">
        <v>164</v>
      </c>
      <c r="D66" s="1" t="s">
        <v>19</v>
      </c>
      <c r="E66" s="1" t="s">
        <v>156</v>
      </c>
      <c r="F66" s="1" t="s">
        <v>32</v>
      </c>
      <c r="G66" s="1">
        <v>0.33</v>
      </c>
      <c r="H66" s="1">
        <v>39.49</v>
      </c>
      <c r="I66" s="1">
        <v>54.26</v>
      </c>
      <c r="J66" s="1">
        <v>3.03</v>
      </c>
      <c r="K66" s="1">
        <v>0.58089999999999997</v>
      </c>
      <c r="L66" s="2" t="s">
        <v>22</v>
      </c>
      <c r="M66" s="2" t="s">
        <v>22</v>
      </c>
      <c r="N66" s="2" t="s">
        <v>22</v>
      </c>
      <c r="O66" s="2" t="s">
        <v>22</v>
      </c>
      <c r="P66" s="2" t="s">
        <v>22</v>
      </c>
      <c r="Q66" s="6" t="s">
        <v>22</v>
      </c>
      <c r="R66" s="2">
        <f>--(Table1[[#This Row],[Propane P/F]]="FAIL")</f>
        <v>0</v>
      </c>
      <c r="S66" s="2">
        <f>--(Table1[[#This Row],[Isobutane P/F]]="FAIL")</f>
        <v>0</v>
      </c>
      <c r="T66" s="18">
        <f>--(Table1[[#This Row],[n-Butane P/F]]="FAIL")</f>
        <v>0</v>
      </c>
      <c r="U66" s="18">
        <f>--(Table1[[#This Row],[VP P/F]]="FAIL")</f>
        <v>0</v>
      </c>
      <c r="V66" s="18">
        <f>--(Table1[[#This Row],[Density P/F]]="FAIL")</f>
        <v>0</v>
      </c>
    </row>
    <row r="67" spans="1:22" x14ac:dyDescent="0.35">
      <c r="A67" s="4">
        <v>66</v>
      </c>
      <c r="B67" s="1" t="s">
        <v>165</v>
      </c>
      <c r="C67" s="1" t="s">
        <v>166</v>
      </c>
      <c r="D67" s="1" t="s">
        <v>35</v>
      </c>
      <c r="E67" s="1" t="s">
        <v>156</v>
      </c>
      <c r="F67" s="1" t="s">
        <v>21</v>
      </c>
      <c r="G67" s="1">
        <v>17.88</v>
      </c>
      <c r="H67" s="1">
        <v>31.65</v>
      </c>
      <c r="I67" s="1">
        <v>64.59</v>
      </c>
      <c r="J67" s="1">
        <v>3.49</v>
      </c>
      <c r="K67" s="1">
        <v>0.56830000000000003</v>
      </c>
      <c r="L67" s="2" t="s">
        <v>22</v>
      </c>
      <c r="M67" s="2" t="s">
        <v>22</v>
      </c>
      <c r="N67" s="2" t="s">
        <v>22</v>
      </c>
      <c r="O67" s="2" t="s">
        <v>22</v>
      </c>
      <c r="P67" s="2" t="s">
        <v>22</v>
      </c>
      <c r="Q67" s="6" t="s">
        <v>22</v>
      </c>
      <c r="R67" s="2">
        <f>--(Table1[[#This Row],[Propane P/F]]="FAIL")</f>
        <v>0</v>
      </c>
      <c r="S67" s="2">
        <f>--(Table1[[#This Row],[Isobutane P/F]]="FAIL")</f>
        <v>0</v>
      </c>
      <c r="T67" s="18">
        <f>--(Table1[[#This Row],[n-Butane P/F]]="FAIL")</f>
        <v>0</v>
      </c>
      <c r="U67" s="18">
        <f>--(Table1[[#This Row],[VP P/F]]="FAIL")</f>
        <v>0</v>
      </c>
      <c r="V67" s="18">
        <f>--(Table1[[#This Row],[Density P/F]]="FAIL")</f>
        <v>0</v>
      </c>
    </row>
    <row r="68" spans="1:22" x14ac:dyDescent="0.35">
      <c r="A68" s="4">
        <v>67</v>
      </c>
      <c r="B68" s="1" t="s">
        <v>167</v>
      </c>
      <c r="C68" s="1" t="s">
        <v>168</v>
      </c>
      <c r="D68" s="1" t="s">
        <v>35</v>
      </c>
      <c r="E68" s="1" t="s">
        <v>156</v>
      </c>
      <c r="F68" s="1" t="s">
        <v>21</v>
      </c>
      <c r="G68" s="1">
        <v>10.119999999999999</v>
      </c>
      <c r="H68" s="1">
        <v>26.89</v>
      </c>
      <c r="I68" s="1">
        <v>60</v>
      </c>
      <c r="J68" s="1">
        <v>3.75</v>
      </c>
      <c r="K68" s="1">
        <v>0.57909999999999995</v>
      </c>
      <c r="L68" s="2" t="s">
        <v>22</v>
      </c>
      <c r="M68" s="2" t="s">
        <v>22</v>
      </c>
      <c r="N68" s="2" t="s">
        <v>22</v>
      </c>
      <c r="O68" s="2" t="s">
        <v>22</v>
      </c>
      <c r="P68" s="2" t="s">
        <v>22</v>
      </c>
      <c r="Q68" s="6" t="s">
        <v>22</v>
      </c>
      <c r="R68" s="2">
        <f>--(Table1[[#This Row],[Propane P/F]]="FAIL")</f>
        <v>0</v>
      </c>
      <c r="S68" s="2">
        <f>--(Table1[[#This Row],[Isobutane P/F]]="FAIL")</f>
        <v>0</v>
      </c>
      <c r="T68" s="18">
        <f>--(Table1[[#This Row],[n-Butane P/F]]="FAIL")</f>
        <v>0</v>
      </c>
      <c r="U68" s="18">
        <f>--(Table1[[#This Row],[VP P/F]]="FAIL")</f>
        <v>0</v>
      </c>
      <c r="V68" s="18">
        <f>--(Table1[[#This Row],[Density P/F]]="FAIL")</f>
        <v>0</v>
      </c>
    </row>
    <row r="69" spans="1:22" x14ac:dyDescent="0.35">
      <c r="A69" s="4">
        <v>68</v>
      </c>
      <c r="B69" s="1" t="s">
        <v>169</v>
      </c>
      <c r="C69" s="1" t="s">
        <v>170</v>
      </c>
      <c r="D69" s="1" t="s">
        <v>35</v>
      </c>
      <c r="E69" s="1" t="s">
        <v>156</v>
      </c>
      <c r="F69" s="1" t="s">
        <v>21</v>
      </c>
      <c r="G69" s="1">
        <v>12.06</v>
      </c>
      <c r="H69" s="1">
        <v>36.03</v>
      </c>
      <c r="I69" s="1">
        <v>60.35</v>
      </c>
      <c r="J69" s="1">
        <v>4.1900000000000004</v>
      </c>
      <c r="K69" s="1">
        <v>0.55930000000000002</v>
      </c>
      <c r="L69" s="2" t="s">
        <v>22</v>
      </c>
      <c r="M69" s="2" t="s">
        <v>22</v>
      </c>
      <c r="N69" s="2" t="s">
        <v>22</v>
      </c>
      <c r="O69" s="2" t="s">
        <v>22</v>
      </c>
      <c r="P69" s="3" t="s">
        <v>23</v>
      </c>
      <c r="Q69" s="5" t="s">
        <v>23</v>
      </c>
      <c r="R69" s="2">
        <f>--(Table1[[#This Row],[Propane P/F]]="FAIL")</f>
        <v>0</v>
      </c>
      <c r="S69" s="2">
        <f>--(Table1[[#This Row],[Isobutane P/F]]="FAIL")</f>
        <v>0</v>
      </c>
      <c r="T69" s="18">
        <f>--(Table1[[#This Row],[n-Butane P/F]]="FAIL")</f>
        <v>0</v>
      </c>
      <c r="U69" s="18">
        <f>--(Table1[[#This Row],[VP P/F]]="FAIL")</f>
        <v>0</v>
      </c>
      <c r="V69" s="18">
        <f>--(Table1[[#This Row],[Density P/F]]="FAIL")</f>
        <v>1</v>
      </c>
    </row>
    <row r="70" spans="1:22" x14ac:dyDescent="0.35">
      <c r="A70" s="4">
        <v>69</v>
      </c>
      <c r="B70" s="1" t="s">
        <v>171</v>
      </c>
      <c r="C70" s="1" t="s">
        <v>172</v>
      </c>
      <c r="D70" s="1" t="s">
        <v>35</v>
      </c>
      <c r="E70" s="1" t="s">
        <v>156</v>
      </c>
      <c r="F70" s="1" t="s">
        <v>21</v>
      </c>
      <c r="G70" s="1">
        <v>7.82</v>
      </c>
      <c r="H70" s="1">
        <v>38.229999999999997</v>
      </c>
      <c r="I70" s="1">
        <v>50.89</v>
      </c>
      <c r="J70" s="1">
        <v>3.43</v>
      </c>
      <c r="K70" s="1">
        <v>0.56389999999999996</v>
      </c>
      <c r="L70" s="2" t="s">
        <v>22</v>
      </c>
      <c r="M70" s="2" t="s">
        <v>22</v>
      </c>
      <c r="N70" s="2" t="s">
        <v>22</v>
      </c>
      <c r="O70" s="2" t="s">
        <v>22</v>
      </c>
      <c r="P70" s="2" t="s">
        <v>22</v>
      </c>
      <c r="Q70" s="6" t="s">
        <v>22</v>
      </c>
      <c r="R70" s="2">
        <f>--(Table1[[#This Row],[Propane P/F]]="FAIL")</f>
        <v>0</v>
      </c>
      <c r="S70" s="2">
        <f>--(Table1[[#This Row],[Isobutane P/F]]="FAIL")</f>
        <v>0</v>
      </c>
      <c r="T70" s="18">
        <f>--(Table1[[#This Row],[n-Butane P/F]]="FAIL")</f>
        <v>0</v>
      </c>
      <c r="U70" s="18">
        <f>--(Table1[[#This Row],[VP P/F]]="FAIL")</f>
        <v>0</v>
      </c>
      <c r="V70" s="18">
        <f>--(Table1[[#This Row],[Density P/F]]="FAIL")</f>
        <v>0</v>
      </c>
    </row>
    <row r="71" spans="1:22" hidden="1" x14ac:dyDescent="0.35">
      <c r="A71" s="4">
        <v>70</v>
      </c>
      <c r="B71" s="1" t="s">
        <v>173</v>
      </c>
      <c r="C71" s="1" t="s">
        <v>174</v>
      </c>
      <c r="D71" s="1" t="s">
        <v>35</v>
      </c>
      <c r="E71" s="1" t="s">
        <v>156</v>
      </c>
      <c r="F71" s="1" t="s">
        <v>32</v>
      </c>
      <c r="G71" s="1">
        <v>0.34</v>
      </c>
      <c r="H71" s="1">
        <v>39.79</v>
      </c>
      <c r="I71" s="1">
        <v>55.03</v>
      </c>
      <c r="J71" s="1">
        <v>3.17</v>
      </c>
      <c r="K71" s="1">
        <v>0.57740000000000002</v>
      </c>
      <c r="L71" s="2" t="s">
        <v>22</v>
      </c>
      <c r="M71" s="2" t="s">
        <v>22</v>
      </c>
      <c r="N71" s="2" t="s">
        <v>22</v>
      </c>
      <c r="O71" s="2" t="s">
        <v>22</v>
      </c>
      <c r="P71" s="2" t="s">
        <v>22</v>
      </c>
      <c r="Q71" s="6" t="s">
        <v>22</v>
      </c>
      <c r="R71" s="2">
        <f>--(Table1[[#This Row],[Propane P/F]]="FAIL")</f>
        <v>0</v>
      </c>
      <c r="S71" s="2">
        <f>--(Table1[[#This Row],[Isobutane P/F]]="FAIL")</f>
        <v>0</v>
      </c>
      <c r="T71" s="18">
        <f>--(Table1[[#This Row],[n-Butane P/F]]="FAIL")</f>
        <v>0</v>
      </c>
      <c r="U71" s="18">
        <f>--(Table1[[#This Row],[VP P/F]]="FAIL")</f>
        <v>0</v>
      </c>
      <c r="V71" s="18">
        <f>--(Table1[[#This Row],[Density P/F]]="FAIL")</f>
        <v>0</v>
      </c>
    </row>
    <row r="72" spans="1:22" x14ac:dyDescent="0.35">
      <c r="A72" s="4">
        <v>71</v>
      </c>
      <c r="B72" s="1" t="s">
        <v>175</v>
      </c>
      <c r="C72" s="1" t="s">
        <v>176</v>
      </c>
      <c r="D72" s="1" t="s">
        <v>46</v>
      </c>
      <c r="E72" s="1" t="s">
        <v>156</v>
      </c>
      <c r="F72" s="1" t="s">
        <v>21</v>
      </c>
      <c r="G72" s="1">
        <v>16.329999999999998</v>
      </c>
      <c r="H72" s="1">
        <v>23.95</v>
      </c>
      <c r="I72" s="1">
        <v>56.84</v>
      </c>
      <c r="J72" s="1">
        <v>4.01</v>
      </c>
      <c r="K72" s="1">
        <v>0.58030000000000004</v>
      </c>
      <c r="L72" s="2" t="s">
        <v>22</v>
      </c>
      <c r="M72" s="2" t="s">
        <v>22</v>
      </c>
      <c r="N72" s="2" t="s">
        <v>22</v>
      </c>
      <c r="O72" s="2" t="s">
        <v>22</v>
      </c>
      <c r="P72" s="3" t="s">
        <v>23</v>
      </c>
      <c r="Q72" s="5" t="s">
        <v>23</v>
      </c>
      <c r="R72" s="2">
        <f>--(Table1[[#This Row],[Propane P/F]]="FAIL")</f>
        <v>0</v>
      </c>
      <c r="S72" s="2">
        <f>--(Table1[[#This Row],[Isobutane P/F]]="FAIL")</f>
        <v>0</v>
      </c>
      <c r="T72" s="18">
        <f>--(Table1[[#This Row],[n-Butane P/F]]="FAIL")</f>
        <v>0</v>
      </c>
      <c r="U72" s="18">
        <f>--(Table1[[#This Row],[VP P/F]]="FAIL")</f>
        <v>0</v>
      </c>
      <c r="V72" s="18">
        <f>--(Table1[[#This Row],[Density P/F]]="FAIL")</f>
        <v>1</v>
      </c>
    </row>
    <row r="73" spans="1:22" x14ac:dyDescent="0.35">
      <c r="A73" s="4">
        <v>72</v>
      </c>
      <c r="B73" s="1" t="s">
        <v>177</v>
      </c>
      <c r="C73" s="1" t="s">
        <v>178</v>
      </c>
      <c r="D73" s="1" t="s">
        <v>46</v>
      </c>
      <c r="E73" s="1" t="s">
        <v>156</v>
      </c>
      <c r="F73" s="1" t="s">
        <v>21</v>
      </c>
      <c r="G73" s="1">
        <v>11.5</v>
      </c>
      <c r="H73" s="1">
        <v>37.950000000000003</v>
      </c>
      <c r="I73" s="1">
        <v>54.36</v>
      </c>
      <c r="J73" s="1">
        <v>4.0199999999999996</v>
      </c>
      <c r="K73" s="1">
        <v>0.57789999999999997</v>
      </c>
      <c r="L73" s="2" t="s">
        <v>22</v>
      </c>
      <c r="M73" s="2" t="s">
        <v>22</v>
      </c>
      <c r="N73" s="2" t="s">
        <v>22</v>
      </c>
      <c r="O73" s="2" t="s">
        <v>22</v>
      </c>
      <c r="P73" s="2" t="s">
        <v>22</v>
      </c>
      <c r="Q73" s="6" t="s">
        <v>22</v>
      </c>
      <c r="R73" s="2">
        <f>--(Table1[[#This Row],[Propane P/F]]="FAIL")</f>
        <v>0</v>
      </c>
      <c r="S73" s="2">
        <f>--(Table1[[#This Row],[Isobutane P/F]]="FAIL")</f>
        <v>0</v>
      </c>
      <c r="T73" s="18">
        <f>--(Table1[[#This Row],[n-Butane P/F]]="FAIL")</f>
        <v>0</v>
      </c>
      <c r="U73" s="18">
        <f>--(Table1[[#This Row],[VP P/F]]="FAIL")</f>
        <v>0</v>
      </c>
      <c r="V73" s="18">
        <f>--(Table1[[#This Row],[Density P/F]]="FAIL")</f>
        <v>0</v>
      </c>
    </row>
    <row r="74" spans="1:22" x14ac:dyDescent="0.35">
      <c r="A74" s="4">
        <v>73</v>
      </c>
      <c r="B74" s="1" t="s">
        <v>179</v>
      </c>
      <c r="C74" s="1" t="s">
        <v>180</v>
      </c>
      <c r="D74" s="1" t="s">
        <v>46</v>
      </c>
      <c r="E74" s="1" t="s">
        <v>156</v>
      </c>
      <c r="F74" s="1" t="s">
        <v>21</v>
      </c>
      <c r="G74" s="1">
        <v>23.13</v>
      </c>
      <c r="H74" s="1">
        <v>33.32</v>
      </c>
      <c r="I74" s="1">
        <v>67.72</v>
      </c>
      <c r="J74" s="1">
        <v>4.24</v>
      </c>
      <c r="K74" s="1">
        <v>0.5716</v>
      </c>
      <c r="L74" s="3" t="s">
        <v>23</v>
      </c>
      <c r="M74" s="2" t="s">
        <v>22</v>
      </c>
      <c r="N74" s="2" t="s">
        <v>22</v>
      </c>
      <c r="O74" s="2" t="s">
        <v>22</v>
      </c>
      <c r="P74" s="2" t="s">
        <v>22</v>
      </c>
      <c r="Q74" s="5" t="s">
        <v>23</v>
      </c>
      <c r="R74" s="2">
        <f>--(Table1[[#This Row],[Propane P/F]]="FAIL")</f>
        <v>1</v>
      </c>
      <c r="S74" s="2">
        <f>--(Table1[[#This Row],[Isobutane P/F]]="FAIL")</f>
        <v>0</v>
      </c>
      <c r="T74" s="18">
        <f>--(Table1[[#This Row],[n-Butane P/F]]="FAIL")</f>
        <v>0</v>
      </c>
      <c r="U74" s="18">
        <f>--(Table1[[#This Row],[VP P/F]]="FAIL")</f>
        <v>0</v>
      </c>
      <c r="V74" s="18">
        <f>--(Table1[[#This Row],[Density P/F]]="FAIL")</f>
        <v>0</v>
      </c>
    </row>
    <row r="75" spans="1:22" x14ac:dyDescent="0.35">
      <c r="A75" s="4">
        <v>74</v>
      </c>
      <c r="B75" s="1" t="s">
        <v>181</v>
      </c>
      <c r="C75" s="1" t="s">
        <v>182</v>
      </c>
      <c r="D75" s="1" t="s">
        <v>46</v>
      </c>
      <c r="E75" s="1" t="s">
        <v>156</v>
      </c>
      <c r="F75" s="1" t="s">
        <v>21</v>
      </c>
      <c r="G75" s="1">
        <v>7.83</v>
      </c>
      <c r="H75" s="1">
        <v>32.659999999999997</v>
      </c>
      <c r="I75" s="1">
        <v>50.28</v>
      </c>
      <c r="J75" s="1">
        <v>3.84</v>
      </c>
      <c r="K75" s="1">
        <v>0.56979999999999997</v>
      </c>
      <c r="L75" s="2" t="s">
        <v>22</v>
      </c>
      <c r="M75" s="2" t="s">
        <v>22</v>
      </c>
      <c r="N75" s="2" t="s">
        <v>22</v>
      </c>
      <c r="O75" s="2" t="s">
        <v>22</v>
      </c>
      <c r="P75" s="2" t="s">
        <v>22</v>
      </c>
      <c r="Q75" s="6" t="s">
        <v>22</v>
      </c>
      <c r="R75" s="2">
        <f>--(Table1[[#This Row],[Propane P/F]]="FAIL")</f>
        <v>0</v>
      </c>
      <c r="S75" s="2">
        <f>--(Table1[[#This Row],[Isobutane P/F]]="FAIL")</f>
        <v>0</v>
      </c>
      <c r="T75" s="18">
        <f>--(Table1[[#This Row],[n-Butane P/F]]="FAIL")</f>
        <v>0</v>
      </c>
      <c r="U75" s="18">
        <f>--(Table1[[#This Row],[VP P/F]]="FAIL")</f>
        <v>0</v>
      </c>
      <c r="V75" s="18">
        <f>--(Table1[[#This Row],[Density P/F]]="FAIL")</f>
        <v>0</v>
      </c>
    </row>
    <row r="76" spans="1:22" hidden="1" x14ac:dyDescent="0.35">
      <c r="A76" s="4">
        <v>75</v>
      </c>
      <c r="B76" s="1" t="s">
        <v>183</v>
      </c>
      <c r="C76" s="1" t="s">
        <v>184</v>
      </c>
      <c r="D76" s="1" t="s">
        <v>46</v>
      </c>
      <c r="E76" s="1" t="s">
        <v>156</v>
      </c>
      <c r="F76" s="1" t="s">
        <v>32</v>
      </c>
      <c r="G76" s="1">
        <v>0.73</v>
      </c>
      <c r="H76" s="1">
        <v>39.68</v>
      </c>
      <c r="I76" s="1">
        <v>55.38</v>
      </c>
      <c r="J76" s="1">
        <v>2.99</v>
      </c>
      <c r="K76" s="1">
        <v>0.57830000000000004</v>
      </c>
      <c r="L76" s="2" t="s">
        <v>22</v>
      </c>
      <c r="M76" s="2" t="s">
        <v>22</v>
      </c>
      <c r="N76" s="2" t="s">
        <v>22</v>
      </c>
      <c r="O76" s="2" t="s">
        <v>22</v>
      </c>
      <c r="P76" s="2" t="s">
        <v>22</v>
      </c>
      <c r="Q76" s="6" t="s">
        <v>22</v>
      </c>
      <c r="R76" s="2">
        <f>--(Table1[[#This Row],[Propane P/F]]="FAIL")</f>
        <v>0</v>
      </c>
      <c r="S76" s="2">
        <f>--(Table1[[#This Row],[Isobutane P/F]]="FAIL")</f>
        <v>0</v>
      </c>
      <c r="T76" s="18">
        <f>--(Table1[[#This Row],[n-Butane P/F]]="FAIL")</f>
        <v>0</v>
      </c>
      <c r="U76" s="18">
        <f>--(Table1[[#This Row],[VP P/F]]="FAIL")</f>
        <v>0</v>
      </c>
      <c r="V76" s="18">
        <f>--(Table1[[#This Row],[Density P/F]]="FAIL")</f>
        <v>0</v>
      </c>
    </row>
    <row r="77" spans="1:22" x14ac:dyDescent="0.35">
      <c r="A77" s="4">
        <v>76</v>
      </c>
      <c r="B77" s="1" t="s">
        <v>185</v>
      </c>
      <c r="C77" s="1" t="s">
        <v>186</v>
      </c>
      <c r="D77" s="1" t="s">
        <v>57</v>
      </c>
      <c r="E77" s="1" t="s">
        <v>156</v>
      </c>
      <c r="F77" s="1" t="s">
        <v>21</v>
      </c>
      <c r="G77" s="1">
        <v>12.23</v>
      </c>
      <c r="H77" s="1">
        <v>34.159999999999997</v>
      </c>
      <c r="I77" s="1">
        <v>55.9</v>
      </c>
      <c r="J77" s="1">
        <v>4.29</v>
      </c>
      <c r="K77" s="1">
        <v>0.57789999999999997</v>
      </c>
      <c r="L77" s="2" t="s">
        <v>22</v>
      </c>
      <c r="M77" s="2" t="s">
        <v>22</v>
      </c>
      <c r="N77" s="2" t="s">
        <v>22</v>
      </c>
      <c r="O77" s="2" t="s">
        <v>22</v>
      </c>
      <c r="P77" s="2" t="s">
        <v>22</v>
      </c>
      <c r="Q77" s="6" t="s">
        <v>22</v>
      </c>
      <c r="R77" s="2">
        <f>--(Table1[[#This Row],[Propane P/F]]="FAIL")</f>
        <v>0</v>
      </c>
      <c r="S77" s="2">
        <f>--(Table1[[#This Row],[Isobutane P/F]]="FAIL")</f>
        <v>0</v>
      </c>
      <c r="T77" s="18">
        <f>--(Table1[[#This Row],[n-Butane P/F]]="FAIL")</f>
        <v>0</v>
      </c>
      <c r="U77" s="18">
        <f>--(Table1[[#This Row],[VP P/F]]="FAIL")</f>
        <v>0</v>
      </c>
      <c r="V77" s="18">
        <f>--(Table1[[#This Row],[Density P/F]]="FAIL")</f>
        <v>0</v>
      </c>
    </row>
    <row r="78" spans="1:22" x14ac:dyDescent="0.35">
      <c r="A78" s="4">
        <v>77</v>
      </c>
      <c r="B78" s="1" t="s">
        <v>187</v>
      </c>
      <c r="C78" s="1" t="s">
        <v>188</v>
      </c>
      <c r="D78" s="1" t="s">
        <v>57</v>
      </c>
      <c r="E78" s="1" t="s">
        <v>156</v>
      </c>
      <c r="F78" s="1" t="s">
        <v>21</v>
      </c>
      <c r="G78" s="1">
        <v>9.93</v>
      </c>
      <c r="H78" s="1">
        <v>29.36</v>
      </c>
      <c r="I78" s="1">
        <v>63.43</v>
      </c>
      <c r="J78" s="1">
        <v>3.8</v>
      </c>
      <c r="K78" s="1">
        <v>0.55869999999999997</v>
      </c>
      <c r="L78" s="2" t="s">
        <v>22</v>
      </c>
      <c r="M78" s="2" t="s">
        <v>22</v>
      </c>
      <c r="N78" s="2" t="s">
        <v>22</v>
      </c>
      <c r="O78" s="2" t="s">
        <v>22</v>
      </c>
      <c r="P78" s="3" t="s">
        <v>23</v>
      </c>
      <c r="Q78" s="5" t="s">
        <v>23</v>
      </c>
      <c r="R78" s="2">
        <f>--(Table1[[#This Row],[Propane P/F]]="FAIL")</f>
        <v>0</v>
      </c>
      <c r="S78" s="2">
        <f>--(Table1[[#This Row],[Isobutane P/F]]="FAIL")</f>
        <v>0</v>
      </c>
      <c r="T78" s="18">
        <f>--(Table1[[#This Row],[n-Butane P/F]]="FAIL")</f>
        <v>0</v>
      </c>
      <c r="U78" s="18">
        <f>--(Table1[[#This Row],[VP P/F]]="FAIL")</f>
        <v>0</v>
      </c>
      <c r="V78" s="18">
        <f>--(Table1[[#This Row],[Density P/F]]="FAIL")</f>
        <v>1</v>
      </c>
    </row>
    <row r="79" spans="1:22" x14ac:dyDescent="0.35">
      <c r="A79" s="4">
        <v>78</v>
      </c>
      <c r="B79" s="1" t="s">
        <v>189</v>
      </c>
      <c r="C79" s="1" t="s">
        <v>190</v>
      </c>
      <c r="D79" s="1" t="s">
        <v>57</v>
      </c>
      <c r="E79" s="1" t="s">
        <v>156</v>
      </c>
      <c r="F79" s="1" t="s">
        <v>21</v>
      </c>
      <c r="G79" s="1">
        <v>9.5500000000000007</v>
      </c>
      <c r="H79" s="1">
        <v>35.36</v>
      </c>
      <c r="I79" s="1">
        <v>57.49</v>
      </c>
      <c r="J79" s="1">
        <v>4.32</v>
      </c>
      <c r="K79" s="1">
        <v>0.55879999999999996</v>
      </c>
      <c r="L79" s="2" t="s">
        <v>22</v>
      </c>
      <c r="M79" s="2" t="s">
        <v>22</v>
      </c>
      <c r="N79" s="2" t="s">
        <v>22</v>
      </c>
      <c r="O79" s="2" t="s">
        <v>22</v>
      </c>
      <c r="P79" s="3" t="s">
        <v>23</v>
      </c>
      <c r="Q79" s="5" t="s">
        <v>23</v>
      </c>
      <c r="R79" s="2">
        <f>--(Table1[[#This Row],[Propane P/F]]="FAIL")</f>
        <v>0</v>
      </c>
      <c r="S79" s="2">
        <f>--(Table1[[#This Row],[Isobutane P/F]]="FAIL")</f>
        <v>0</v>
      </c>
      <c r="T79" s="18">
        <f>--(Table1[[#This Row],[n-Butane P/F]]="FAIL")</f>
        <v>0</v>
      </c>
      <c r="U79" s="18">
        <f>--(Table1[[#This Row],[VP P/F]]="FAIL")</f>
        <v>0</v>
      </c>
      <c r="V79" s="18">
        <f>--(Table1[[#This Row],[Density P/F]]="FAIL")</f>
        <v>1</v>
      </c>
    </row>
    <row r="80" spans="1:22" x14ac:dyDescent="0.35">
      <c r="A80" s="4">
        <v>79</v>
      </c>
      <c r="B80" s="1" t="s">
        <v>191</v>
      </c>
      <c r="C80" s="1" t="s">
        <v>192</v>
      </c>
      <c r="D80" s="1" t="s">
        <v>57</v>
      </c>
      <c r="E80" s="1" t="s">
        <v>156</v>
      </c>
      <c r="F80" s="1" t="s">
        <v>21</v>
      </c>
      <c r="G80" s="1">
        <v>8.0299999999999994</v>
      </c>
      <c r="H80" s="1">
        <v>33.96</v>
      </c>
      <c r="I80" s="1">
        <v>60.75</v>
      </c>
      <c r="J80" s="1">
        <v>4.2</v>
      </c>
      <c r="K80" s="1">
        <v>0.5746</v>
      </c>
      <c r="L80" s="2" t="s">
        <v>22</v>
      </c>
      <c r="M80" s="2" t="s">
        <v>22</v>
      </c>
      <c r="N80" s="2" t="s">
        <v>22</v>
      </c>
      <c r="O80" s="2" t="s">
        <v>22</v>
      </c>
      <c r="P80" s="2" t="s">
        <v>22</v>
      </c>
      <c r="Q80" s="6" t="s">
        <v>22</v>
      </c>
      <c r="R80" s="2">
        <f>--(Table1[[#This Row],[Propane P/F]]="FAIL")</f>
        <v>0</v>
      </c>
      <c r="S80" s="2">
        <f>--(Table1[[#This Row],[Isobutane P/F]]="FAIL")</f>
        <v>0</v>
      </c>
      <c r="T80" s="18">
        <f>--(Table1[[#This Row],[n-Butane P/F]]="FAIL")</f>
        <v>0</v>
      </c>
      <c r="U80" s="18">
        <f>--(Table1[[#This Row],[VP P/F]]="FAIL")</f>
        <v>0</v>
      </c>
      <c r="V80" s="18">
        <f>--(Table1[[#This Row],[Density P/F]]="FAIL")</f>
        <v>0</v>
      </c>
    </row>
    <row r="81" spans="1:22" hidden="1" x14ac:dyDescent="0.35">
      <c r="A81" s="4">
        <v>80</v>
      </c>
      <c r="B81" s="1" t="s">
        <v>193</v>
      </c>
      <c r="C81" s="1" t="s">
        <v>194</v>
      </c>
      <c r="D81" s="1" t="s">
        <v>57</v>
      </c>
      <c r="E81" s="1" t="s">
        <v>156</v>
      </c>
      <c r="F81" s="1" t="s">
        <v>32</v>
      </c>
      <c r="G81" s="1">
        <v>0.68</v>
      </c>
      <c r="H81" s="1">
        <v>36.74</v>
      </c>
      <c r="I81" s="1">
        <v>55.99</v>
      </c>
      <c r="J81" s="1">
        <v>3.11</v>
      </c>
      <c r="K81" s="1">
        <v>0.57489999999999997</v>
      </c>
      <c r="L81" s="2" t="s">
        <v>22</v>
      </c>
      <c r="M81" s="2" t="s">
        <v>22</v>
      </c>
      <c r="N81" s="2" t="s">
        <v>22</v>
      </c>
      <c r="O81" s="2" t="s">
        <v>22</v>
      </c>
      <c r="P81" s="2" t="s">
        <v>22</v>
      </c>
      <c r="Q81" s="6" t="s">
        <v>22</v>
      </c>
      <c r="R81" s="2">
        <f>--(Table1[[#This Row],[Propane P/F]]="FAIL")</f>
        <v>0</v>
      </c>
      <c r="S81" s="2">
        <f>--(Table1[[#This Row],[Isobutane P/F]]="FAIL")</f>
        <v>0</v>
      </c>
      <c r="T81" s="18">
        <f>--(Table1[[#This Row],[n-Butane P/F]]="FAIL")</f>
        <v>0</v>
      </c>
      <c r="U81" s="18">
        <f>--(Table1[[#This Row],[VP P/F]]="FAIL")</f>
        <v>0</v>
      </c>
      <c r="V81" s="18">
        <f>--(Table1[[#This Row],[Density P/F]]="FAIL")</f>
        <v>0</v>
      </c>
    </row>
    <row r="82" spans="1:22" x14ac:dyDescent="0.35">
      <c r="A82" s="4">
        <v>81</v>
      </c>
      <c r="B82" s="1" t="s">
        <v>195</v>
      </c>
      <c r="C82" s="1" t="s">
        <v>196</v>
      </c>
      <c r="D82" s="1" t="s">
        <v>68</v>
      </c>
      <c r="E82" s="1" t="s">
        <v>156</v>
      </c>
      <c r="F82" s="1" t="s">
        <v>21</v>
      </c>
      <c r="G82" s="1">
        <v>10.97</v>
      </c>
      <c r="H82" s="1">
        <v>33.65</v>
      </c>
      <c r="I82" s="1">
        <v>55.96</v>
      </c>
      <c r="J82" s="1">
        <v>3.66</v>
      </c>
      <c r="K82" s="1">
        <v>0.56089999999999995</v>
      </c>
      <c r="L82" s="2" t="s">
        <v>22</v>
      </c>
      <c r="M82" s="2" t="s">
        <v>22</v>
      </c>
      <c r="N82" s="2" t="s">
        <v>22</v>
      </c>
      <c r="O82" s="2" t="s">
        <v>22</v>
      </c>
      <c r="P82" s="2" t="s">
        <v>22</v>
      </c>
      <c r="Q82" s="6" t="s">
        <v>22</v>
      </c>
      <c r="R82" s="2">
        <f>--(Table1[[#This Row],[Propane P/F]]="FAIL")</f>
        <v>0</v>
      </c>
      <c r="S82" s="2">
        <f>--(Table1[[#This Row],[Isobutane P/F]]="FAIL")</f>
        <v>0</v>
      </c>
      <c r="T82" s="18">
        <f>--(Table1[[#This Row],[n-Butane P/F]]="FAIL")</f>
        <v>0</v>
      </c>
      <c r="U82" s="18">
        <f>--(Table1[[#This Row],[VP P/F]]="FAIL")</f>
        <v>0</v>
      </c>
      <c r="V82" s="18">
        <f>--(Table1[[#This Row],[Density P/F]]="FAIL")</f>
        <v>0</v>
      </c>
    </row>
    <row r="83" spans="1:22" x14ac:dyDescent="0.35">
      <c r="A83" s="4">
        <v>82</v>
      </c>
      <c r="B83" s="1" t="s">
        <v>197</v>
      </c>
      <c r="C83" s="1" t="s">
        <v>198</v>
      </c>
      <c r="D83" s="1" t="s">
        <v>68</v>
      </c>
      <c r="E83" s="1" t="s">
        <v>156</v>
      </c>
      <c r="F83" s="1" t="s">
        <v>21</v>
      </c>
      <c r="G83" s="1">
        <v>13.43</v>
      </c>
      <c r="H83" s="1">
        <v>34.72</v>
      </c>
      <c r="I83" s="1">
        <v>54.07</v>
      </c>
      <c r="J83" s="1">
        <v>3.63</v>
      </c>
      <c r="K83" s="1">
        <v>0.5696</v>
      </c>
      <c r="L83" s="2" t="s">
        <v>22</v>
      </c>
      <c r="M83" s="2" t="s">
        <v>22</v>
      </c>
      <c r="N83" s="2" t="s">
        <v>22</v>
      </c>
      <c r="O83" s="2" t="s">
        <v>22</v>
      </c>
      <c r="P83" s="2" t="s">
        <v>22</v>
      </c>
      <c r="Q83" s="6" t="s">
        <v>22</v>
      </c>
      <c r="R83" s="2">
        <f>--(Table1[[#This Row],[Propane P/F]]="FAIL")</f>
        <v>0</v>
      </c>
      <c r="S83" s="2">
        <f>--(Table1[[#This Row],[Isobutane P/F]]="FAIL")</f>
        <v>0</v>
      </c>
      <c r="T83" s="18">
        <f>--(Table1[[#This Row],[n-Butane P/F]]="FAIL")</f>
        <v>0</v>
      </c>
      <c r="U83" s="18">
        <f>--(Table1[[#This Row],[VP P/F]]="FAIL")</f>
        <v>0</v>
      </c>
      <c r="V83" s="18">
        <f>--(Table1[[#This Row],[Density P/F]]="FAIL")</f>
        <v>0</v>
      </c>
    </row>
    <row r="84" spans="1:22" x14ac:dyDescent="0.35">
      <c r="A84" s="4">
        <v>83</v>
      </c>
      <c r="B84" s="1" t="s">
        <v>199</v>
      </c>
      <c r="C84" s="1" t="s">
        <v>200</v>
      </c>
      <c r="D84" s="1" t="s">
        <v>68</v>
      </c>
      <c r="E84" s="1" t="s">
        <v>156</v>
      </c>
      <c r="F84" s="1" t="s">
        <v>21</v>
      </c>
      <c r="G84" s="1">
        <v>13.3</v>
      </c>
      <c r="H84" s="1">
        <v>26.09</v>
      </c>
      <c r="I84" s="1">
        <v>52.21</v>
      </c>
      <c r="J84" s="1">
        <v>3.6</v>
      </c>
      <c r="K84" s="1">
        <v>0.55710000000000004</v>
      </c>
      <c r="L84" s="2" t="s">
        <v>22</v>
      </c>
      <c r="M84" s="2" t="s">
        <v>22</v>
      </c>
      <c r="N84" s="2" t="s">
        <v>22</v>
      </c>
      <c r="O84" s="2" t="s">
        <v>22</v>
      </c>
      <c r="P84" s="3" t="s">
        <v>23</v>
      </c>
      <c r="Q84" s="5" t="s">
        <v>23</v>
      </c>
      <c r="R84" s="2">
        <f>--(Table1[[#This Row],[Propane P/F]]="FAIL")</f>
        <v>0</v>
      </c>
      <c r="S84" s="2">
        <f>--(Table1[[#This Row],[Isobutane P/F]]="FAIL")</f>
        <v>0</v>
      </c>
      <c r="T84" s="18">
        <f>--(Table1[[#This Row],[n-Butane P/F]]="FAIL")</f>
        <v>0</v>
      </c>
      <c r="U84" s="18">
        <f>--(Table1[[#This Row],[VP P/F]]="FAIL")</f>
        <v>0</v>
      </c>
      <c r="V84" s="18">
        <f>--(Table1[[#This Row],[Density P/F]]="FAIL")</f>
        <v>1</v>
      </c>
    </row>
    <row r="85" spans="1:22" x14ac:dyDescent="0.35">
      <c r="A85" s="4">
        <v>84</v>
      </c>
      <c r="B85" s="1" t="s">
        <v>201</v>
      </c>
      <c r="C85" s="1" t="s">
        <v>202</v>
      </c>
      <c r="D85" s="1" t="s">
        <v>68</v>
      </c>
      <c r="E85" s="1" t="s">
        <v>156</v>
      </c>
      <c r="F85" s="1" t="s">
        <v>21</v>
      </c>
      <c r="G85" s="1">
        <v>10.29</v>
      </c>
      <c r="H85" s="1">
        <v>38.54</v>
      </c>
      <c r="I85" s="1">
        <v>62.17</v>
      </c>
      <c r="J85" s="1">
        <v>4.13</v>
      </c>
      <c r="K85" s="1">
        <v>0.56100000000000005</v>
      </c>
      <c r="L85" s="2" t="s">
        <v>22</v>
      </c>
      <c r="M85" s="2" t="s">
        <v>22</v>
      </c>
      <c r="N85" s="2" t="s">
        <v>22</v>
      </c>
      <c r="O85" s="2" t="s">
        <v>22</v>
      </c>
      <c r="P85" s="2" t="s">
        <v>22</v>
      </c>
      <c r="Q85" s="6" t="s">
        <v>22</v>
      </c>
      <c r="R85" s="2">
        <f>--(Table1[[#This Row],[Propane P/F]]="FAIL")</f>
        <v>0</v>
      </c>
      <c r="S85" s="2">
        <f>--(Table1[[#This Row],[Isobutane P/F]]="FAIL")</f>
        <v>0</v>
      </c>
      <c r="T85" s="18">
        <f>--(Table1[[#This Row],[n-Butane P/F]]="FAIL")</f>
        <v>0</v>
      </c>
      <c r="U85" s="18">
        <f>--(Table1[[#This Row],[VP P/F]]="FAIL")</f>
        <v>0</v>
      </c>
      <c r="V85" s="18">
        <f>--(Table1[[#This Row],[Density P/F]]="FAIL")</f>
        <v>0</v>
      </c>
    </row>
    <row r="86" spans="1:22" hidden="1" x14ac:dyDescent="0.35">
      <c r="A86" s="4">
        <v>85</v>
      </c>
      <c r="B86" s="1" t="s">
        <v>203</v>
      </c>
      <c r="C86" s="1" t="s">
        <v>204</v>
      </c>
      <c r="D86" s="1" t="s">
        <v>68</v>
      </c>
      <c r="E86" s="1" t="s">
        <v>156</v>
      </c>
      <c r="F86" s="1" t="s">
        <v>32</v>
      </c>
      <c r="G86" s="1">
        <v>0.72</v>
      </c>
      <c r="H86" s="1">
        <v>40.590000000000003</v>
      </c>
      <c r="I86" s="1">
        <v>69.760000000000005</v>
      </c>
      <c r="J86" s="1">
        <v>3.05</v>
      </c>
      <c r="K86" s="1">
        <v>0.57289999999999996</v>
      </c>
      <c r="L86" s="2" t="s">
        <v>22</v>
      </c>
      <c r="M86" s="2" t="s">
        <v>22</v>
      </c>
      <c r="N86" s="3" t="s">
        <v>23</v>
      </c>
      <c r="O86" s="2" t="s">
        <v>22</v>
      </c>
      <c r="P86" s="2" t="s">
        <v>22</v>
      </c>
      <c r="Q86" s="5" t="s">
        <v>23</v>
      </c>
      <c r="R86" s="2">
        <f>--(Table1[[#This Row],[Propane P/F]]="FAIL")</f>
        <v>0</v>
      </c>
      <c r="S86" s="2">
        <f>--(Table1[[#This Row],[Isobutane P/F]]="FAIL")</f>
        <v>0</v>
      </c>
      <c r="T86" s="18">
        <f>--(Table1[[#This Row],[n-Butane P/F]]="FAIL")</f>
        <v>1</v>
      </c>
      <c r="U86" s="18">
        <f>--(Table1[[#This Row],[VP P/F]]="FAIL")</f>
        <v>0</v>
      </c>
      <c r="V86" s="18">
        <f>--(Table1[[#This Row],[Density P/F]]="FAIL")</f>
        <v>0</v>
      </c>
    </row>
    <row r="87" spans="1:22" x14ac:dyDescent="0.35">
      <c r="A87" s="4">
        <v>86</v>
      </c>
      <c r="B87" s="1" t="s">
        <v>205</v>
      </c>
      <c r="C87" s="1" t="s">
        <v>206</v>
      </c>
      <c r="D87" s="1" t="s">
        <v>79</v>
      </c>
      <c r="E87" s="1" t="s">
        <v>156</v>
      </c>
      <c r="F87" s="1" t="s">
        <v>21</v>
      </c>
      <c r="G87" s="1">
        <v>14.55</v>
      </c>
      <c r="H87" s="1">
        <v>21.96</v>
      </c>
      <c r="I87" s="1">
        <v>53.28</v>
      </c>
      <c r="J87" s="1">
        <v>3.99</v>
      </c>
      <c r="K87" s="1">
        <v>0.56530000000000002</v>
      </c>
      <c r="L87" s="2" t="s">
        <v>22</v>
      </c>
      <c r="M87" s="2" t="s">
        <v>22</v>
      </c>
      <c r="N87" s="2" t="s">
        <v>22</v>
      </c>
      <c r="O87" s="2" t="s">
        <v>22</v>
      </c>
      <c r="P87" s="2" t="s">
        <v>22</v>
      </c>
      <c r="Q87" s="6" t="s">
        <v>22</v>
      </c>
      <c r="R87" s="2">
        <f>--(Table1[[#This Row],[Propane P/F]]="FAIL")</f>
        <v>0</v>
      </c>
      <c r="S87" s="2">
        <f>--(Table1[[#This Row],[Isobutane P/F]]="FAIL")</f>
        <v>0</v>
      </c>
      <c r="T87" s="18">
        <f>--(Table1[[#This Row],[n-Butane P/F]]="FAIL")</f>
        <v>0</v>
      </c>
      <c r="U87" s="18">
        <f>--(Table1[[#This Row],[VP P/F]]="FAIL")</f>
        <v>0</v>
      </c>
      <c r="V87" s="18">
        <f>--(Table1[[#This Row],[Density P/F]]="FAIL")</f>
        <v>0</v>
      </c>
    </row>
    <row r="88" spans="1:22" x14ac:dyDescent="0.35">
      <c r="A88" s="4">
        <v>87</v>
      </c>
      <c r="B88" s="1" t="s">
        <v>207</v>
      </c>
      <c r="C88" s="1" t="s">
        <v>208</v>
      </c>
      <c r="D88" s="1" t="s">
        <v>79</v>
      </c>
      <c r="E88" s="1" t="s">
        <v>156</v>
      </c>
      <c r="F88" s="1" t="s">
        <v>21</v>
      </c>
      <c r="G88" s="1">
        <v>16.170000000000002</v>
      </c>
      <c r="H88" s="1">
        <v>31.91</v>
      </c>
      <c r="I88" s="1">
        <v>67.400000000000006</v>
      </c>
      <c r="J88" s="1">
        <v>3.64</v>
      </c>
      <c r="K88" s="1">
        <v>0.57050000000000001</v>
      </c>
      <c r="L88" s="2" t="s">
        <v>22</v>
      </c>
      <c r="M88" s="2" t="s">
        <v>22</v>
      </c>
      <c r="N88" s="2" t="s">
        <v>22</v>
      </c>
      <c r="O88" s="2" t="s">
        <v>22</v>
      </c>
      <c r="P88" s="2" t="s">
        <v>22</v>
      </c>
      <c r="Q88" s="6" t="s">
        <v>22</v>
      </c>
      <c r="R88" s="2">
        <f>--(Table1[[#This Row],[Propane P/F]]="FAIL")</f>
        <v>0</v>
      </c>
      <c r="S88" s="2">
        <f>--(Table1[[#This Row],[Isobutane P/F]]="FAIL")</f>
        <v>0</v>
      </c>
      <c r="T88" s="18">
        <f>--(Table1[[#This Row],[n-Butane P/F]]="FAIL")</f>
        <v>0</v>
      </c>
      <c r="U88" s="18">
        <f>--(Table1[[#This Row],[VP P/F]]="FAIL")</f>
        <v>0</v>
      </c>
      <c r="V88" s="18">
        <f>--(Table1[[#This Row],[Density P/F]]="FAIL")</f>
        <v>0</v>
      </c>
    </row>
    <row r="89" spans="1:22" x14ac:dyDescent="0.35">
      <c r="A89" s="4">
        <v>88</v>
      </c>
      <c r="B89" s="1" t="s">
        <v>209</v>
      </c>
      <c r="C89" s="1" t="s">
        <v>210</v>
      </c>
      <c r="D89" s="1" t="s">
        <v>79</v>
      </c>
      <c r="E89" s="1" t="s">
        <v>156</v>
      </c>
      <c r="F89" s="1" t="s">
        <v>21</v>
      </c>
      <c r="G89" s="1">
        <v>17.32</v>
      </c>
      <c r="H89" s="1">
        <v>38.82</v>
      </c>
      <c r="I89" s="1">
        <v>56.72</v>
      </c>
      <c r="J89" s="1">
        <v>4.05</v>
      </c>
      <c r="K89" s="1">
        <v>0.5726</v>
      </c>
      <c r="L89" s="2" t="s">
        <v>22</v>
      </c>
      <c r="M89" s="2" t="s">
        <v>22</v>
      </c>
      <c r="N89" s="2" t="s">
        <v>22</v>
      </c>
      <c r="O89" s="2" t="s">
        <v>22</v>
      </c>
      <c r="P89" s="2" t="s">
        <v>22</v>
      </c>
      <c r="Q89" s="6" t="s">
        <v>22</v>
      </c>
      <c r="R89" s="2">
        <f>--(Table1[[#This Row],[Propane P/F]]="FAIL")</f>
        <v>0</v>
      </c>
      <c r="S89" s="2">
        <f>--(Table1[[#This Row],[Isobutane P/F]]="FAIL")</f>
        <v>0</v>
      </c>
      <c r="T89" s="18">
        <f>--(Table1[[#This Row],[n-Butane P/F]]="FAIL")</f>
        <v>0</v>
      </c>
      <c r="U89" s="18">
        <f>--(Table1[[#This Row],[VP P/F]]="FAIL")</f>
        <v>0</v>
      </c>
      <c r="V89" s="18">
        <f>--(Table1[[#This Row],[Density P/F]]="FAIL")</f>
        <v>0</v>
      </c>
    </row>
    <row r="90" spans="1:22" x14ac:dyDescent="0.35">
      <c r="A90" s="4">
        <v>89</v>
      </c>
      <c r="B90" s="1" t="s">
        <v>211</v>
      </c>
      <c r="C90" s="1" t="s">
        <v>212</v>
      </c>
      <c r="D90" s="1" t="s">
        <v>79</v>
      </c>
      <c r="E90" s="1" t="s">
        <v>156</v>
      </c>
      <c r="F90" s="1" t="s">
        <v>21</v>
      </c>
      <c r="G90" s="1">
        <v>9.49</v>
      </c>
      <c r="H90" s="1">
        <v>24.8</v>
      </c>
      <c r="I90" s="1">
        <v>64.53</v>
      </c>
      <c r="J90" s="1">
        <v>3.56</v>
      </c>
      <c r="K90" s="1">
        <v>0.55679999999999996</v>
      </c>
      <c r="L90" s="2" t="s">
        <v>22</v>
      </c>
      <c r="M90" s="2" t="s">
        <v>22</v>
      </c>
      <c r="N90" s="2" t="s">
        <v>22</v>
      </c>
      <c r="O90" s="2" t="s">
        <v>22</v>
      </c>
      <c r="P90" s="3" t="s">
        <v>23</v>
      </c>
      <c r="Q90" s="5" t="s">
        <v>23</v>
      </c>
      <c r="R90" s="2">
        <f>--(Table1[[#This Row],[Propane P/F]]="FAIL")</f>
        <v>0</v>
      </c>
      <c r="S90" s="2">
        <f>--(Table1[[#This Row],[Isobutane P/F]]="FAIL")</f>
        <v>0</v>
      </c>
      <c r="T90" s="18">
        <f>--(Table1[[#This Row],[n-Butane P/F]]="FAIL")</f>
        <v>0</v>
      </c>
      <c r="U90" s="18">
        <f>--(Table1[[#This Row],[VP P/F]]="FAIL")</f>
        <v>0</v>
      </c>
      <c r="V90" s="18">
        <f>--(Table1[[#This Row],[Density P/F]]="FAIL")</f>
        <v>1</v>
      </c>
    </row>
    <row r="91" spans="1:22" hidden="1" x14ac:dyDescent="0.35">
      <c r="A91" s="4">
        <v>90</v>
      </c>
      <c r="B91" s="1" t="s">
        <v>213</v>
      </c>
      <c r="C91" s="1" t="s">
        <v>214</v>
      </c>
      <c r="D91" s="1" t="s">
        <v>79</v>
      </c>
      <c r="E91" s="1" t="s">
        <v>156</v>
      </c>
      <c r="F91" s="1" t="s">
        <v>32</v>
      </c>
      <c r="G91" s="1">
        <v>0.56000000000000005</v>
      </c>
      <c r="H91" s="1">
        <v>38.33</v>
      </c>
      <c r="I91" s="1">
        <v>56.08</v>
      </c>
      <c r="J91" s="1">
        <v>3.11</v>
      </c>
      <c r="K91" s="1">
        <v>0.58120000000000005</v>
      </c>
      <c r="L91" s="2" t="s">
        <v>22</v>
      </c>
      <c r="M91" s="2" t="s">
        <v>22</v>
      </c>
      <c r="N91" s="2" t="s">
        <v>22</v>
      </c>
      <c r="O91" s="2" t="s">
        <v>22</v>
      </c>
      <c r="P91" s="2" t="s">
        <v>22</v>
      </c>
      <c r="Q91" s="6" t="s">
        <v>22</v>
      </c>
      <c r="R91" s="2">
        <f>--(Table1[[#This Row],[Propane P/F]]="FAIL")</f>
        <v>0</v>
      </c>
      <c r="S91" s="2">
        <f>--(Table1[[#This Row],[Isobutane P/F]]="FAIL")</f>
        <v>0</v>
      </c>
      <c r="T91" s="18">
        <f>--(Table1[[#This Row],[n-Butane P/F]]="FAIL")</f>
        <v>0</v>
      </c>
      <c r="U91" s="18">
        <f>--(Table1[[#This Row],[VP P/F]]="FAIL")</f>
        <v>0</v>
      </c>
      <c r="V91" s="18">
        <f>--(Table1[[#This Row],[Density P/F]]="FAIL")</f>
        <v>0</v>
      </c>
    </row>
    <row r="92" spans="1:22" x14ac:dyDescent="0.35">
      <c r="A92" s="4">
        <v>91</v>
      </c>
      <c r="B92" s="1" t="s">
        <v>215</v>
      </c>
      <c r="C92" s="1" t="s">
        <v>216</v>
      </c>
      <c r="D92" s="1" t="s">
        <v>90</v>
      </c>
      <c r="E92" s="1" t="s">
        <v>156</v>
      </c>
      <c r="F92" s="1" t="s">
        <v>21</v>
      </c>
      <c r="G92" s="1">
        <v>14.93</v>
      </c>
      <c r="H92" s="1">
        <v>37.81</v>
      </c>
      <c r="I92" s="1">
        <v>59.35</v>
      </c>
      <c r="J92" s="1">
        <v>3.97</v>
      </c>
      <c r="K92" s="1">
        <v>0.57350000000000001</v>
      </c>
      <c r="L92" s="2" t="s">
        <v>22</v>
      </c>
      <c r="M92" s="2" t="s">
        <v>22</v>
      </c>
      <c r="N92" s="2" t="s">
        <v>22</v>
      </c>
      <c r="O92" s="2" t="s">
        <v>22</v>
      </c>
      <c r="P92" s="2" t="s">
        <v>22</v>
      </c>
      <c r="Q92" s="6" t="s">
        <v>22</v>
      </c>
      <c r="R92" s="2">
        <f>--(Table1[[#This Row],[Propane P/F]]="FAIL")</f>
        <v>0</v>
      </c>
      <c r="S92" s="2">
        <f>--(Table1[[#This Row],[Isobutane P/F]]="FAIL")</f>
        <v>0</v>
      </c>
      <c r="T92" s="18">
        <f>--(Table1[[#This Row],[n-Butane P/F]]="FAIL")</f>
        <v>0</v>
      </c>
      <c r="U92" s="18">
        <f>--(Table1[[#This Row],[VP P/F]]="FAIL")</f>
        <v>0</v>
      </c>
      <c r="V92" s="18">
        <f>--(Table1[[#This Row],[Density P/F]]="FAIL")</f>
        <v>0</v>
      </c>
    </row>
    <row r="93" spans="1:22" x14ac:dyDescent="0.35">
      <c r="A93" s="4">
        <v>92</v>
      </c>
      <c r="B93" s="1" t="s">
        <v>217</v>
      </c>
      <c r="C93" s="1" t="s">
        <v>218</v>
      </c>
      <c r="D93" s="1" t="s">
        <v>90</v>
      </c>
      <c r="E93" s="1" t="s">
        <v>156</v>
      </c>
      <c r="F93" s="1" t="s">
        <v>21</v>
      </c>
      <c r="G93" s="1">
        <v>7.86</v>
      </c>
      <c r="H93" s="1">
        <v>23.99</v>
      </c>
      <c r="I93" s="1">
        <v>56.77</v>
      </c>
      <c r="J93" s="1">
        <v>4.1900000000000004</v>
      </c>
      <c r="K93" s="1">
        <v>0.57169999999999999</v>
      </c>
      <c r="L93" s="2" t="s">
        <v>22</v>
      </c>
      <c r="M93" s="2" t="s">
        <v>22</v>
      </c>
      <c r="N93" s="2" t="s">
        <v>22</v>
      </c>
      <c r="O93" s="2" t="s">
        <v>22</v>
      </c>
      <c r="P93" s="2" t="s">
        <v>22</v>
      </c>
      <c r="Q93" s="6" t="s">
        <v>22</v>
      </c>
      <c r="R93" s="2">
        <f>--(Table1[[#This Row],[Propane P/F]]="FAIL")</f>
        <v>0</v>
      </c>
      <c r="S93" s="2">
        <f>--(Table1[[#This Row],[Isobutane P/F]]="FAIL")</f>
        <v>0</v>
      </c>
      <c r="T93" s="18">
        <f>--(Table1[[#This Row],[n-Butane P/F]]="FAIL")</f>
        <v>0</v>
      </c>
      <c r="U93" s="18">
        <f>--(Table1[[#This Row],[VP P/F]]="FAIL")</f>
        <v>0</v>
      </c>
      <c r="V93" s="18">
        <f>--(Table1[[#This Row],[Density P/F]]="FAIL")</f>
        <v>0</v>
      </c>
    </row>
    <row r="94" spans="1:22" x14ac:dyDescent="0.35">
      <c r="A94" s="4">
        <v>93</v>
      </c>
      <c r="B94" s="1" t="s">
        <v>219</v>
      </c>
      <c r="C94" s="1" t="s">
        <v>220</v>
      </c>
      <c r="D94" s="1" t="s">
        <v>90</v>
      </c>
      <c r="E94" s="1" t="s">
        <v>156</v>
      </c>
      <c r="F94" s="1" t="s">
        <v>21</v>
      </c>
      <c r="G94" s="1">
        <v>15.26</v>
      </c>
      <c r="H94" s="1">
        <v>33.6</v>
      </c>
      <c r="I94" s="1">
        <v>70.739999999999995</v>
      </c>
      <c r="J94" s="1">
        <v>3.93</v>
      </c>
      <c r="K94" s="1">
        <v>0.55669999999999997</v>
      </c>
      <c r="L94" s="2" t="s">
        <v>22</v>
      </c>
      <c r="M94" s="2" t="s">
        <v>22</v>
      </c>
      <c r="N94" s="2" t="s">
        <v>22</v>
      </c>
      <c r="O94" s="2" t="s">
        <v>22</v>
      </c>
      <c r="P94" s="3" t="s">
        <v>23</v>
      </c>
      <c r="Q94" s="5" t="s">
        <v>23</v>
      </c>
      <c r="R94" s="2">
        <f>--(Table1[[#This Row],[Propane P/F]]="FAIL")</f>
        <v>0</v>
      </c>
      <c r="S94" s="2">
        <f>--(Table1[[#This Row],[Isobutane P/F]]="FAIL")</f>
        <v>0</v>
      </c>
      <c r="T94" s="18">
        <f>--(Table1[[#This Row],[n-Butane P/F]]="FAIL")</f>
        <v>0</v>
      </c>
      <c r="U94" s="18">
        <f>--(Table1[[#This Row],[VP P/F]]="FAIL")</f>
        <v>0</v>
      </c>
      <c r="V94" s="18">
        <f>--(Table1[[#This Row],[Density P/F]]="FAIL")</f>
        <v>1</v>
      </c>
    </row>
    <row r="95" spans="1:22" x14ac:dyDescent="0.35">
      <c r="A95" s="4">
        <v>94</v>
      </c>
      <c r="B95" s="1" t="s">
        <v>221</v>
      </c>
      <c r="C95" s="1" t="s">
        <v>222</v>
      </c>
      <c r="D95" s="1" t="s">
        <v>90</v>
      </c>
      <c r="E95" s="1" t="s">
        <v>156</v>
      </c>
      <c r="F95" s="1" t="s">
        <v>21</v>
      </c>
      <c r="G95" s="1">
        <v>10.87</v>
      </c>
      <c r="H95" s="1">
        <v>25.51</v>
      </c>
      <c r="I95" s="1">
        <v>52.01</v>
      </c>
      <c r="J95" s="1">
        <v>4.41</v>
      </c>
      <c r="K95" s="1">
        <v>0.57809999999999995</v>
      </c>
      <c r="L95" s="2" t="s">
        <v>22</v>
      </c>
      <c r="M95" s="2" t="s">
        <v>22</v>
      </c>
      <c r="N95" s="2" t="s">
        <v>22</v>
      </c>
      <c r="O95" s="2" t="s">
        <v>22</v>
      </c>
      <c r="P95" s="2" t="s">
        <v>22</v>
      </c>
      <c r="Q95" s="6" t="s">
        <v>22</v>
      </c>
      <c r="R95" s="2">
        <f>--(Table1[[#This Row],[Propane P/F]]="FAIL")</f>
        <v>0</v>
      </c>
      <c r="S95" s="2">
        <f>--(Table1[[#This Row],[Isobutane P/F]]="FAIL")</f>
        <v>0</v>
      </c>
      <c r="T95" s="18">
        <f>--(Table1[[#This Row],[n-Butane P/F]]="FAIL")</f>
        <v>0</v>
      </c>
      <c r="U95" s="18">
        <f>--(Table1[[#This Row],[VP P/F]]="FAIL")</f>
        <v>0</v>
      </c>
      <c r="V95" s="18">
        <f>--(Table1[[#This Row],[Density P/F]]="FAIL")</f>
        <v>0</v>
      </c>
    </row>
    <row r="96" spans="1:22" hidden="1" x14ac:dyDescent="0.35">
      <c r="A96" s="4">
        <v>95</v>
      </c>
      <c r="B96" s="1" t="s">
        <v>223</v>
      </c>
      <c r="C96" s="1" t="s">
        <v>224</v>
      </c>
      <c r="D96" s="1" t="s">
        <v>90</v>
      </c>
      <c r="E96" s="1" t="s">
        <v>156</v>
      </c>
      <c r="F96" s="1" t="s">
        <v>32</v>
      </c>
      <c r="G96" s="1">
        <v>0.8</v>
      </c>
      <c r="H96" s="1">
        <v>41.38</v>
      </c>
      <c r="I96" s="1">
        <v>56.43</v>
      </c>
      <c r="J96" s="1">
        <v>2.96</v>
      </c>
      <c r="K96" s="1">
        <v>0.58209999999999995</v>
      </c>
      <c r="L96" s="2" t="s">
        <v>22</v>
      </c>
      <c r="M96" s="2" t="s">
        <v>22</v>
      </c>
      <c r="N96" s="2" t="s">
        <v>22</v>
      </c>
      <c r="O96" s="2" t="s">
        <v>22</v>
      </c>
      <c r="P96" s="2" t="s">
        <v>22</v>
      </c>
      <c r="Q96" s="6" t="s">
        <v>22</v>
      </c>
      <c r="R96" s="2">
        <f>--(Table1[[#This Row],[Propane P/F]]="FAIL")</f>
        <v>0</v>
      </c>
      <c r="S96" s="2">
        <f>--(Table1[[#This Row],[Isobutane P/F]]="FAIL")</f>
        <v>0</v>
      </c>
      <c r="T96" s="18">
        <f>--(Table1[[#This Row],[n-Butane P/F]]="FAIL")</f>
        <v>0</v>
      </c>
      <c r="U96" s="18">
        <f>--(Table1[[#This Row],[VP P/F]]="FAIL")</f>
        <v>0</v>
      </c>
      <c r="V96" s="18">
        <f>--(Table1[[#This Row],[Density P/F]]="FAIL")</f>
        <v>0</v>
      </c>
    </row>
    <row r="97" spans="1:22" x14ac:dyDescent="0.35">
      <c r="A97" s="4">
        <v>96</v>
      </c>
      <c r="B97" s="1" t="s">
        <v>225</v>
      </c>
      <c r="C97" s="1" t="s">
        <v>226</v>
      </c>
      <c r="D97" s="1" t="s">
        <v>101</v>
      </c>
      <c r="E97" s="1" t="s">
        <v>156</v>
      </c>
      <c r="F97" s="1" t="s">
        <v>21</v>
      </c>
      <c r="G97" s="1">
        <v>14.62</v>
      </c>
      <c r="H97" s="1">
        <v>29.85</v>
      </c>
      <c r="I97" s="1">
        <v>52.01</v>
      </c>
      <c r="J97" s="1">
        <v>3.77</v>
      </c>
      <c r="K97" s="1">
        <v>0.56599999999999995</v>
      </c>
      <c r="L97" s="2" t="s">
        <v>22</v>
      </c>
      <c r="M97" s="2" t="s">
        <v>22</v>
      </c>
      <c r="N97" s="2" t="s">
        <v>22</v>
      </c>
      <c r="O97" s="2" t="s">
        <v>22</v>
      </c>
      <c r="P97" s="2" t="s">
        <v>22</v>
      </c>
      <c r="Q97" s="6" t="s">
        <v>22</v>
      </c>
      <c r="R97" s="2">
        <f>--(Table1[[#This Row],[Propane P/F]]="FAIL")</f>
        <v>0</v>
      </c>
      <c r="S97" s="2">
        <f>--(Table1[[#This Row],[Isobutane P/F]]="FAIL")</f>
        <v>0</v>
      </c>
      <c r="T97" s="18">
        <f>--(Table1[[#This Row],[n-Butane P/F]]="FAIL")</f>
        <v>0</v>
      </c>
      <c r="U97" s="18">
        <f>--(Table1[[#This Row],[VP P/F]]="FAIL")</f>
        <v>0</v>
      </c>
      <c r="V97" s="18">
        <f>--(Table1[[#This Row],[Density P/F]]="FAIL")</f>
        <v>0</v>
      </c>
    </row>
    <row r="98" spans="1:22" x14ac:dyDescent="0.35">
      <c r="A98" s="4">
        <v>97</v>
      </c>
      <c r="B98" s="1" t="s">
        <v>227</v>
      </c>
      <c r="C98" s="1" t="s">
        <v>228</v>
      </c>
      <c r="D98" s="1" t="s">
        <v>101</v>
      </c>
      <c r="E98" s="1" t="s">
        <v>156</v>
      </c>
      <c r="F98" s="1" t="s">
        <v>21</v>
      </c>
      <c r="G98" s="1">
        <v>10.96</v>
      </c>
      <c r="H98" s="1">
        <v>33.49</v>
      </c>
      <c r="I98" s="1">
        <v>56.34</v>
      </c>
      <c r="J98" s="1">
        <v>4.3899999999999997</v>
      </c>
      <c r="K98" s="1">
        <v>0.57750000000000001</v>
      </c>
      <c r="L98" s="2" t="s">
        <v>22</v>
      </c>
      <c r="M98" s="2" t="s">
        <v>22</v>
      </c>
      <c r="N98" s="2" t="s">
        <v>22</v>
      </c>
      <c r="O98" s="2" t="s">
        <v>22</v>
      </c>
      <c r="P98" s="2" t="s">
        <v>22</v>
      </c>
      <c r="Q98" s="6" t="s">
        <v>22</v>
      </c>
      <c r="R98" s="2">
        <f>--(Table1[[#This Row],[Propane P/F]]="FAIL")</f>
        <v>0</v>
      </c>
      <c r="S98" s="2">
        <f>--(Table1[[#This Row],[Isobutane P/F]]="FAIL")</f>
        <v>0</v>
      </c>
      <c r="T98" s="18">
        <f>--(Table1[[#This Row],[n-Butane P/F]]="FAIL")</f>
        <v>0</v>
      </c>
      <c r="U98" s="18">
        <f>--(Table1[[#This Row],[VP P/F]]="FAIL")</f>
        <v>0</v>
      </c>
      <c r="V98" s="18">
        <f>--(Table1[[#This Row],[Density P/F]]="FAIL")</f>
        <v>0</v>
      </c>
    </row>
    <row r="99" spans="1:22" x14ac:dyDescent="0.35">
      <c r="A99" s="4">
        <v>98</v>
      </c>
      <c r="B99" s="1" t="s">
        <v>229</v>
      </c>
      <c r="C99" s="1" t="s">
        <v>230</v>
      </c>
      <c r="D99" s="1" t="s">
        <v>101</v>
      </c>
      <c r="E99" s="1" t="s">
        <v>156</v>
      </c>
      <c r="F99" s="1" t="s">
        <v>21</v>
      </c>
      <c r="G99" s="1">
        <v>10.77</v>
      </c>
      <c r="H99" s="1">
        <v>26.82</v>
      </c>
      <c r="I99" s="1">
        <v>71.34</v>
      </c>
      <c r="J99" s="1">
        <v>3.82</v>
      </c>
      <c r="K99" s="1">
        <v>0.57040000000000002</v>
      </c>
      <c r="L99" s="2" t="s">
        <v>22</v>
      </c>
      <c r="M99" s="2" t="s">
        <v>22</v>
      </c>
      <c r="N99" s="2" t="s">
        <v>22</v>
      </c>
      <c r="O99" s="2" t="s">
        <v>22</v>
      </c>
      <c r="P99" s="2" t="s">
        <v>22</v>
      </c>
      <c r="Q99" s="6" t="s">
        <v>22</v>
      </c>
      <c r="R99" s="2">
        <f>--(Table1[[#This Row],[Propane P/F]]="FAIL")</f>
        <v>0</v>
      </c>
      <c r="S99" s="2">
        <f>--(Table1[[#This Row],[Isobutane P/F]]="FAIL")</f>
        <v>0</v>
      </c>
      <c r="T99" s="18">
        <f>--(Table1[[#This Row],[n-Butane P/F]]="FAIL")</f>
        <v>0</v>
      </c>
      <c r="U99" s="18">
        <f>--(Table1[[#This Row],[VP P/F]]="FAIL")</f>
        <v>0</v>
      </c>
      <c r="V99" s="18">
        <f>--(Table1[[#This Row],[Density P/F]]="FAIL")</f>
        <v>0</v>
      </c>
    </row>
    <row r="100" spans="1:22" x14ac:dyDescent="0.35">
      <c r="A100" s="4">
        <v>99</v>
      </c>
      <c r="B100" s="1" t="s">
        <v>231</v>
      </c>
      <c r="C100" s="1" t="s">
        <v>232</v>
      </c>
      <c r="D100" s="1" t="s">
        <v>101</v>
      </c>
      <c r="E100" s="1" t="s">
        <v>156</v>
      </c>
      <c r="F100" s="1" t="s">
        <v>21</v>
      </c>
      <c r="G100" s="1">
        <v>13.51</v>
      </c>
      <c r="H100" s="1">
        <v>28.44</v>
      </c>
      <c r="I100" s="1">
        <v>54.13</v>
      </c>
      <c r="J100" s="1">
        <v>3.78</v>
      </c>
      <c r="K100" s="1">
        <v>0.57620000000000005</v>
      </c>
      <c r="L100" s="2" t="s">
        <v>22</v>
      </c>
      <c r="M100" s="2" t="s">
        <v>22</v>
      </c>
      <c r="N100" s="2" t="s">
        <v>22</v>
      </c>
      <c r="O100" s="2" t="s">
        <v>22</v>
      </c>
      <c r="P100" s="2" t="s">
        <v>22</v>
      </c>
      <c r="Q100" s="6" t="s">
        <v>22</v>
      </c>
      <c r="R100" s="2">
        <f>--(Table1[[#This Row],[Propane P/F]]="FAIL")</f>
        <v>0</v>
      </c>
      <c r="S100" s="2">
        <f>--(Table1[[#This Row],[Isobutane P/F]]="FAIL")</f>
        <v>0</v>
      </c>
      <c r="T100" s="18">
        <f>--(Table1[[#This Row],[n-Butane P/F]]="FAIL")</f>
        <v>0</v>
      </c>
      <c r="U100" s="18">
        <f>--(Table1[[#This Row],[VP P/F]]="FAIL")</f>
        <v>0</v>
      </c>
      <c r="V100" s="18">
        <f>--(Table1[[#This Row],[Density P/F]]="FAIL")</f>
        <v>0</v>
      </c>
    </row>
    <row r="101" spans="1:22" hidden="1" x14ac:dyDescent="0.35">
      <c r="A101" s="4">
        <v>100</v>
      </c>
      <c r="B101" s="1" t="s">
        <v>233</v>
      </c>
      <c r="C101" s="1" t="s">
        <v>234</v>
      </c>
      <c r="D101" s="1" t="s">
        <v>101</v>
      </c>
      <c r="E101" s="1" t="s">
        <v>156</v>
      </c>
      <c r="F101" s="1" t="s">
        <v>32</v>
      </c>
      <c r="G101" s="1">
        <v>0.32</v>
      </c>
      <c r="H101" s="1">
        <v>40.39</v>
      </c>
      <c r="I101" s="1">
        <v>69.89</v>
      </c>
      <c r="J101" s="1">
        <v>3.05</v>
      </c>
      <c r="K101" s="1">
        <v>0.58120000000000005</v>
      </c>
      <c r="L101" s="2" t="s">
        <v>22</v>
      </c>
      <c r="M101" s="2" t="s">
        <v>22</v>
      </c>
      <c r="N101" s="3" t="s">
        <v>23</v>
      </c>
      <c r="O101" s="2" t="s">
        <v>22</v>
      </c>
      <c r="P101" s="2" t="s">
        <v>22</v>
      </c>
      <c r="Q101" s="5" t="s">
        <v>23</v>
      </c>
      <c r="R101" s="2">
        <f>--(Table1[[#This Row],[Propane P/F]]="FAIL")</f>
        <v>0</v>
      </c>
      <c r="S101" s="2">
        <f>--(Table1[[#This Row],[Isobutane P/F]]="FAIL")</f>
        <v>0</v>
      </c>
      <c r="T101" s="18">
        <f>--(Table1[[#This Row],[n-Butane P/F]]="FAIL")</f>
        <v>1</v>
      </c>
      <c r="U101" s="18">
        <f>--(Table1[[#This Row],[VP P/F]]="FAIL")</f>
        <v>0</v>
      </c>
      <c r="V101" s="18">
        <f>--(Table1[[#This Row],[Density P/F]]="FAIL")</f>
        <v>0</v>
      </c>
    </row>
    <row r="102" spans="1:22" x14ac:dyDescent="0.35">
      <c r="A102" s="4">
        <v>101</v>
      </c>
      <c r="B102" s="1" t="s">
        <v>235</v>
      </c>
      <c r="C102" s="1" t="s">
        <v>236</v>
      </c>
      <c r="D102" s="1" t="s">
        <v>112</v>
      </c>
      <c r="E102" s="1" t="s">
        <v>156</v>
      </c>
      <c r="F102" s="1" t="s">
        <v>21</v>
      </c>
      <c r="G102" s="1">
        <v>7.16</v>
      </c>
      <c r="H102" s="1">
        <v>28.34</v>
      </c>
      <c r="I102" s="1">
        <v>54.94</v>
      </c>
      <c r="J102" s="1">
        <v>4.28</v>
      </c>
      <c r="K102" s="1">
        <v>0.56069999999999998</v>
      </c>
      <c r="L102" s="2" t="s">
        <v>22</v>
      </c>
      <c r="M102" s="2" t="s">
        <v>22</v>
      </c>
      <c r="N102" s="2" t="s">
        <v>22</v>
      </c>
      <c r="O102" s="2" t="s">
        <v>22</v>
      </c>
      <c r="P102" s="2" t="s">
        <v>22</v>
      </c>
      <c r="Q102" s="6" t="s">
        <v>22</v>
      </c>
      <c r="R102" s="2">
        <f>--(Table1[[#This Row],[Propane P/F]]="FAIL")</f>
        <v>0</v>
      </c>
      <c r="S102" s="2">
        <f>--(Table1[[#This Row],[Isobutane P/F]]="FAIL")</f>
        <v>0</v>
      </c>
      <c r="T102" s="18">
        <f>--(Table1[[#This Row],[n-Butane P/F]]="FAIL")</f>
        <v>0</v>
      </c>
      <c r="U102" s="18">
        <f>--(Table1[[#This Row],[VP P/F]]="FAIL")</f>
        <v>0</v>
      </c>
      <c r="V102" s="18">
        <f>--(Table1[[#This Row],[Density P/F]]="FAIL")</f>
        <v>0</v>
      </c>
    </row>
    <row r="103" spans="1:22" x14ac:dyDescent="0.35">
      <c r="A103" s="4">
        <v>102</v>
      </c>
      <c r="B103" s="1" t="s">
        <v>237</v>
      </c>
      <c r="C103" s="1" t="s">
        <v>238</v>
      </c>
      <c r="D103" s="1" t="s">
        <v>112</v>
      </c>
      <c r="E103" s="1" t="s">
        <v>156</v>
      </c>
      <c r="F103" s="1" t="s">
        <v>21</v>
      </c>
      <c r="G103" s="1">
        <v>8.85</v>
      </c>
      <c r="H103" s="1">
        <v>37.79</v>
      </c>
      <c r="I103" s="1">
        <v>56.42</v>
      </c>
      <c r="J103" s="1">
        <v>4.1399999999999997</v>
      </c>
      <c r="K103" s="1">
        <v>0.56799999999999995</v>
      </c>
      <c r="L103" s="2" t="s">
        <v>22</v>
      </c>
      <c r="M103" s="2" t="s">
        <v>22</v>
      </c>
      <c r="N103" s="2" t="s">
        <v>22</v>
      </c>
      <c r="O103" s="2" t="s">
        <v>22</v>
      </c>
      <c r="P103" s="2" t="s">
        <v>22</v>
      </c>
      <c r="Q103" s="6" t="s">
        <v>22</v>
      </c>
      <c r="R103" s="2">
        <f>--(Table1[[#This Row],[Propane P/F]]="FAIL")</f>
        <v>0</v>
      </c>
      <c r="S103" s="2">
        <f>--(Table1[[#This Row],[Isobutane P/F]]="FAIL")</f>
        <v>0</v>
      </c>
      <c r="T103" s="18">
        <f>--(Table1[[#This Row],[n-Butane P/F]]="FAIL")</f>
        <v>0</v>
      </c>
      <c r="U103" s="18">
        <f>--(Table1[[#This Row],[VP P/F]]="FAIL")</f>
        <v>0</v>
      </c>
      <c r="V103" s="18">
        <f>--(Table1[[#This Row],[Density P/F]]="FAIL")</f>
        <v>0</v>
      </c>
    </row>
    <row r="104" spans="1:22" x14ac:dyDescent="0.35">
      <c r="A104" s="4">
        <v>103</v>
      </c>
      <c r="B104" s="1" t="s">
        <v>239</v>
      </c>
      <c r="C104" s="1" t="s">
        <v>240</v>
      </c>
      <c r="D104" s="1" t="s">
        <v>112</v>
      </c>
      <c r="E104" s="1" t="s">
        <v>156</v>
      </c>
      <c r="F104" s="1" t="s">
        <v>21</v>
      </c>
      <c r="G104" s="1">
        <v>12.48</v>
      </c>
      <c r="H104" s="1">
        <v>23.6</v>
      </c>
      <c r="I104" s="1">
        <v>54.19</v>
      </c>
      <c r="J104" s="1">
        <v>4.03</v>
      </c>
      <c r="K104" s="1">
        <v>0.57589999999999997</v>
      </c>
      <c r="L104" s="2" t="s">
        <v>22</v>
      </c>
      <c r="M104" s="2" t="s">
        <v>22</v>
      </c>
      <c r="N104" s="2" t="s">
        <v>22</v>
      </c>
      <c r="O104" s="2" t="s">
        <v>22</v>
      </c>
      <c r="P104" s="2" t="s">
        <v>22</v>
      </c>
      <c r="Q104" s="6" t="s">
        <v>22</v>
      </c>
      <c r="R104" s="2">
        <f>--(Table1[[#This Row],[Propane P/F]]="FAIL")</f>
        <v>0</v>
      </c>
      <c r="S104" s="2">
        <f>--(Table1[[#This Row],[Isobutane P/F]]="FAIL")</f>
        <v>0</v>
      </c>
      <c r="T104" s="18">
        <f>--(Table1[[#This Row],[n-Butane P/F]]="FAIL")</f>
        <v>0</v>
      </c>
      <c r="U104" s="18">
        <f>--(Table1[[#This Row],[VP P/F]]="FAIL")</f>
        <v>0</v>
      </c>
      <c r="V104" s="18">
        <f>--(Table1[[#This Row],[Density P/F]]="FAIL")</f>
        <v>0</v>
      </c>
    </row>
    <row r="105" spans="1:22" x14ac:dyDescent="0.35">
      <c r="A105" s="4">
        <v>104</v>
      </c>
      <c r="B105" s="1" t="s">
        <v>241</v>
      </c>
      <c r="C105" s="1" t="s">
        <v>242</v>
      </c>
      <c r="D105" s="1" t="s">
        <v>112</v>
      </c>
      <c r="E105" s="1" t="s">
        <v>156</v>
      </c>
      <c r="F105" s="1" t="s">
        <v>21</v>
      </c>
      <c r="G105" s="1">
        <v>23.9</v>
      </c>
      <c r="H105" s="1">
        <v>36.380000000000003</v>
      </c>
      <c r="I105" s="1">
        <v>57.48</v>
      </c>
      <c r="J105" s="1">
        <v>4.2300000000000004</v>
      </c>
      <c r="K105" s="1">
        <v>0.56440000000000001</v>
      </c>
      <c r="L105" s="3" t="s">
        <v>23</v>
      </c>
      <c r="M105" s="2" t="s">
        <v>22</v>
      </c>
      <c r="N105" s="2" t="s">
        <v>22</v>
      </c>
      <c r="O105" s="2" t="s">
        <v>22</v>
      </c>
      <c r="P105" s="2" t="s">
        <v>22</v>
      </c>
      <c r="Q105" s="5" t="s">
        <v>23</v>
      </c>
      <c r="R105" s="2">
        <f>--(Table1[[#This Row],[Propane P/F]]="FAIL")</f>
        <v>1</v>
      </c>
      <c r="S105" s="2">
        <f>--(Table1[[#This Row],[Isobutane P/F]]="FAIL")</f>
        <v>0</v>
      </c>
      <c r="T105" s="18">
        <f>--(Table1[[#This Row],[n-Butane P/F]]="FAIL")</f>
        <v>0</v>
      </c>
      <c r="U105" s="18">
        <f>--(Table1[[#This Row],[VP P/F]]="FAIL")</f>
        <v>0</v>
      </c>
      <c r="V105" s="18">
        <f>--(Table1[[#This Row],[Density P/F]]="FAIL")</f>
        <v>0</v>
      </c>
    </row>
    <row r="106" spans="1:22" hidden="1" x14ac:dyDescent="0.35">
      <c r="A106" s="4">
        <v>105</v>
      </c>
      <c r="B106" s="1" t="s">
        <v>243</v>
      </c>
      <c r="C106" s="1" t="s">
        <v>244</v>
      </c>
      <c r="D106" s="1" t="s">
        <v>112</v>
      </c>
      <c r="E106" s="1" t="s">
        <v>156</v>
      </c>
      <c r="F106" s="1" t="s">
        <v>32</v>
      </c>
      <c r="G106" s="1">
        <v>0.55000000000000004</v>
      </c>
      <c r="H106" s="1">
        <v>41.28</v>
      </c>
      <c r="I106" s="1">
        <v>61.79</v>
      </c>
      <c r="J106" s="1">
        <v>3.05</v>
      </c>
      <c r="K106" s="1">
        <v>0.57769999999999999</v>
      </c>
      <c r="L106" s="2" t="s">
        <v>22</v>
      </c>
      <c r="M106" s="2" t="s">
        <v>22</v>
      </c>
      <c r="N106" s="2" t="s">
        <v>22</v>
      </c>
      <c r="O106" s="2" t="s">
        <v>22</v>
      </c>
      <c r="P106" s="2" t="s">
        <v>22</v>
      </c>
      <c r="Q106" s="6" t="s">
        <v>22</v>
      </c>
      <c r="R106" s="2">
        <f>--(Table1[[#This Row],[Propane P/F]]="FAIL")</f>
        <v>0</v>
      </c>
      <c r="S106" s="2">
        <f>--(Table1[[#This Row],[Isobutane P/F]]="FAIL")</f>
        <v>0</v>
      </c>
      <c r="T106" s="18">
        <f>--(Table1[[#This Row],[n-Butane P/F]]="FAIL")</f>
        <v>0</v>
      </c>
      <c r="U106" s="18">
        <f>--(Table1[[#This Row],[VP P/F]]="FAIL")</f>
        <v>0</v>
      </c>
      <c r="V106" s="18">
        <f>--(Table1[[#This Row],[Density P/F]]="FAIL")</f>
        <v>0</v>
      </c>
    </row>
    <row r="107" spans="1:22" x14ac:dyDescent="0.35">
      <c r="A107" s="4">
        <v>106</v>
      </c>
      <c r="B107" s="1" t="s">
        <v>245</v>
      </c>
      <c r="C107" s="1" t="s">
        <v>246</v>
      </c>
      <c r="D107" s="1" t="s">
        <v>123</v>
      </c>
      <c r="E107" s="1" t="s">
        <v>156</v>
      </c>
      <c r="F107" s="1" t="s">
        <v>21</v>
      </c>
      <c r="G107" s="1">
        <v>23.98</v>
      </c>
      <c r="H107" s="1">
        <v>33.549999999999997</v>
      </c>
      <c r="I107" s="1">
        <v>62.58</v>
      </c>
      <c r="J107" s="1">
        <v>3.65</v>
      </c>
      <c r="K107" s="1">
        <v>0.5766</v>
      </c>
      <c r="L107" s="3" t="s">
        <v>23</v>
      </c>
      <c r="M107" s="2" t="s">
        <v>22</v>
      </c>
      <c r="N107" s="2" t="s">
        <v>22</v>
      </c>
      <c r="O107" s="2" t="s">
        <v>22</v>
      </c>
      <c r="P107" s="2" t="s">
        <v>22</v>
      </c>
      <c r="Q107" s="5" t="s">
        <v>23</v>
      </c>
      <c r="R107" s="2">
        <f>--(Table1[[#This Row],[Propane P/F]]="FAIL")</f>
        <v>1</v>
      </c>
      <c r="S107" s="2">
        <f>--(Table1[[#This Row],[Isobutane P/F]]="FAIL")</f>
        <v>0</v>
      </c>
      <c r="T107" s="18">
        <f>--(Table1[[#This Row],[n-Butane P/F]]="FAIL")</f>
        <v>0</v>
      </c>
      <c r="U107" s="18">
        <f>--(Table1[[#This Row],[VP P/F]]="FAIL")</f>
        <v>0</v>
      </c>
      <c r="V107" s="18">
        <f>--(Table1[[#This Row],[Density P/F]]="FAIL")</f>
        <v>0</v>
      </c>
    </row>
    <row r="108" spans="1:22" x14ac:dyDescent="0.35">
      <c r="A108" s="4">
        <v>107</v>
      </c>
      <c r="B108" s="1" t="s">
        <v>247</v>
      </c>
      <c r="C108" s="1" t="s">
        <v>248</v>
      </c>
      <c r="D108" s="1" t="s">
        <v>123</v>
      </c>
      <c r="E108" s="1" t="s">
        <v>156</v>
      </c>
      <c r="F108" s="1" t="s">
        <v>21</v>
      </c>
      <c r="G108" s="1">
        <v>16.739999999999998</v>
      </c>
      <c r="H108" s="1">
        <v>27.95</v>
      </c>
      <c r="I108" s="1">
        <v>64.599999999999994</v>
      </c>
      <c r="J108" s="1">
        <v>4.26</v>
      </c>
      <c r="K108" s="1">
        <v>0.55700000000000005</v>
      </c>
      <c r="L108" s="2" t="s">
        <v>22</v>
      </c>
      <c r="M108" s="2" t="s">
        <v>22</v>
      </c>
      <c r="N108" s="2" t="s">
        <v>22</v>
      </c>
      <c r="O108" s="2" t="s">
        <v>22</v>
      </c>
      <c r="P108" s="3" t="s">
        <v>23</v>
      </c>
      <c r="Q108" s="5" t="s">
        <v>23</v>
      </c>
      <c r="R108" s="2">
        <f>--(Table1[[#This Row],[Propane P/F]]="FAIL")</f>
        <v>0</v>
      </c>
      <c r="S108" s="2">
        <f>--(Table1[[#This Row],[Isobutane P/F]]="FAIL")</f>
        <v>0</v>
      </c>
      <c r="T108" s="18">
        <f>--(Table1[[#This Row],[n-Butane P/F]]="FAIL")</f>
        <v>0</v>
      </c>
      <c r="U108" s="18">
        <f>--(Table1[[#This Row],[VP P/F]]="FAIL")</f>
        <v>0</v>
      </c>
      <c r="V108" s="18">
        <f>--(Table1[[#This Row],[Density P/F]]="FAIL")</f>
        <v>1</v>
      </c>
    </row>
    <row r="109" spans="1:22" x14ac:dyDescent="0.35">
      <c r="A109" s="4">
        <v>108</v>
      </c>
      <c r="B109" s="1" t="s">
        <v>249</v>
      </c>
      <c r="C109" s="1" t="s">
        <v>250</v>
      </c>
      <c r="D109" s="1" t="s">
        <v>123</v>
      </c>
      <c r="E109" s="1" t="s">
        <v>156</v>
      </c>
      <c r="F109" s="1" t="s">
        <v>21</v>
      </c>
      <c r="G109" s="1">
        <v>14.08</v>
      </c>
      <c r="H109" s="1">
        <v>36.65</v>
      </c>
      <c r="I109" s="1">
        <v>69.23</v>
      </c>
      <c r="J109" s="1">
        <v>3.86</v>
      </c>
      <c r="K109" s="1">
        <v>0.5706</v>
      </c>
      <c r="L109" s="2" t="s">
        <v>22</v>
      </c>
      <c r="M109" s="2" t="s">
        <v>22</v>
      </c>
      <c r="N109" s="2" t="s">
        <v>22</v>
      </c>
      <c r="O109" s="2" t="s">
        <v>22</v>
      </c>
      <c r="P109" s="2" t="s">
        <v>22</v>
      </c>
      <c r="Q109" s="6" t="s">
        <v>22</v>
      </c>
      <c r="R109" s="2">
        <f>--(Table1[[#This Row],[Propane P/F]]="FAIL")</f>
        <v>0</v>
      </c>
      <c r="S109" s="2">
        <f>--(Table1[[#This Row],[Isobutane P/F]]="FAIL")</f>
        <v>0</v>
      </c>
      <c r="T109" s="18">
        <f>--(Table1[[#This Row],[n-Butane P/F]]="FAIL")</f>
        <v>0</v>
      </c>
      <c r="U109" s="18">
        <f>--(Table1[[#This Row],[VP P/F]]="FAIL")</f>
        <v>0</v>
      </c>
      <c r="V109" s="18">
        <f>--(Table1[[#This Row],[Density P/F]]="FAIL")</f>
        <v>0</v>
      </c>
    </row>
    <row r="110" spans="1:22" x14ac:dyDescent="0.35">
      <c r="A110" s="4">
        <v>109</v>
      </c>
      <c r="B110" s="1" t="s">
        <v>251</v>
      </c>
      <c r="C110" s="1" t="s">
        <v>252</v>
      </c>
      <c r="D110" s="1" t="s">
        <v>123</v>
      </c>
      <c r="E110" s="1" t="s">
        <v>156</v>
      </c>
      <c r="F110" s="1" t="s">
        <v>21</v>
      </c>
      <c r="G110" s="1">
        <v>11.92</v>
      </c>
      <c r="H110" s="1">
        <v>32.79</v>
      </c>
      <c r="I110" s="1">
        <v>53.4</v>
      </c>
      <c r="J110" s="1">
        <v>3.89</v>
      </c>
      <c r="K110" s="1">
        <v>0.58130000000000004</v>
      </c>
      <c r="L110" s="2" t="s">
        <v>22</v>
      </c>
      <c r="M110" s="2" t="s">
        <v>22</v>
      </c>
      <c r="N110" s="2" t="s">
        <v>22</v>
      </c>
      <c r="O110" s="2" t="s">
        <v>22</v>
      </c>
      <c r="P110" s="3" t="s">
        <v>23</v>
      </c>
      <c r="Q110" s="5" t="s">
        <v>23</v>
      </c>
      <c r="R110" s="2">
        <f>--(Table1[[#This Row],[Propane P/F]]="FAIL")</f>
        <v>0</v>
      </c>
      <c r="S110" s="2">
        <f>--(Table1[[#This Row],[Isobutane P/F]]="FAIL")</f>
        <v>0</v>
      </c>
      <c r="T110" s="18">
        <f>--(Table1[[#This Row],[n-Butane P/F]]="FAIL")</f>
        <v>0</v>
      </c>
      <c r="U110" s="18">
        <f>--(Table1[[#This Row],[VP P/F]]="FAIL")</f>
        <v>0</v>
      </c>
      <c r="V110" s="18">
        <f>--(Table1[[#This Row],[Density P/F]]="FAIL")</f>
        <v>1</v>
      </c>
    </row>
    <row r="111" spans="1:22" hidden="1" x14ac:dyDescent="0.35">
      <c r="A111" s="4">
        <v>110</v>
      </c>
      <c r="B111" s="1" t="s">
        <v>253</v>
      </c>
      <c r="C111" s="1" t="s">
        <v>254</v>
      </c>
      <c r="D111" s="1" t="s">
        <v>123</v>
      </c>
      <c r="E111" s="1" t="s">
        <v>156</v>
      </c>
      <c r="F111" s="1" t="s">
        <v>32</v>
      </c>
      <c r="G111" s="1">
        <v>0.59</v>
      </c>
      <c r="H111" s="1">
        <v>42.81</v>
      </c>
      <c r="I111" s="1">
        <v>61.67</v>
      </c>
      <c r="J111" s="1">
        <v>3.15</v>
      </c>
      <c r="K111" s="1">
        <v>0.57609999999999995</v>
      </c>
      <c r="L111" s="2" t="s">
        <v>22</v>
      </c>
      <c r="M111" s="2" t="s">
        <v>22</v>
      </c>
      <c r="N111" s="2" t="s">
        <v>22</v>
      </c>
      <c r="O111" s="2" t="s">
        <v>22</v>
      </c>
      <c r="P111" s="2" t="s">
        <v>22</v>
      </c>
      <c r="Q111" s="6" t="s">
        <v>22</v>
      </c>
      <c r="R111" s="2">
        <f>--(Table1[[#This Row],[Propane P/F]]="FAIL")</f>
        <v>0</v>
      </c>
      <c r="S111" s="2">
        <f>--(Table1[[#This Row],[Isobutane P/F]]="FAIL")</f>
        <v>0</v>
      </c>
      <c r="T111" s="18">
        <f>--(Table1[[#This Row],[n-Butane P/F]]="FAIL")</f>
        <v>0</v>
      </c>
      <c r="U111" s="18">
        <f>--(Table1[[#This Row],[VP P/F]]="FAIL")</f>
        <v>0</v>
      </c>
      <c r="V111" s="18">
        <f>--(Table1[[#This Row],[Density P/F]]="FAIL")</f>
        <v>0</v>
      </c>
    </row>
    <row r="112" spans="1:22" x14ac:dyDescent="0.35">
      <c r="A112" s="4">
        <v>111</v>
      </c>
      <c r="B112" s="1" t="s">
        <v>255</v>
      </c>
      <c r="C112" s="1" t="s">
        <v>256</v>
      </c>
      <c r="D112" s="1" t="s">
        <v>134</v>
      </c>
      <c r="E112" s="1" t="s">
        <v>156</v>
      </c>
      <c r="F112" s="1" t="s">
        <v>21</v>
      </c>
      <c r="G112" s="1">
        <v>14.41</v>
      </c>
      <c r="H112" s="1">
        <v>25.23</v>
      </c>
      <c r="I112" s="1">
        <v>65.06</v>
      </c>
      <c r="J112" s="1">
        <v>3.7</v>
      </c>
      <c r="K112" s="1">
        <v>0.5635</v>
      </c>
      <c r="L112" s="2" t="s">
        <v>22</v>
      </c>
      <c r="M112" s="2" t="s">
        <v>22</v>
      </c>
      <c r="N112" s="2" t="s">
        <v>22</v>
      </c>
      <c r="O112" s="2" t="s">
        <v>22</v>
      </c>
      <c r="P112" s="2" t="s">
        <v>22</v>
      </c>
      <c r="Q112" s="6" t="s">
        <v>22</v>
      </c>
      <c r="R112" s="2">
        <f>--(Table1[[#This Row],[Propane P/F]]="FAIL")</f>
        <v>0</v>
      </c>
      <c r="S112" s="2">
        <f>--(Table1[[#This Row],[Isobutane P/F]]="FAIL")</f>
        <v>0</v>
      </c>
      <c r="T112" s="18">
        <f>--(Table1[[#This Row],[n-Butane P/F]]="FAIL")</f>
        <v>0</v>
      </c>
      <c r="U112" s="18">
        <f>--(Table1[[#This Row],[VP P/F]]="FAIL")</f>
        <v>0</v>
      </c>
      <c r="V112" s="18">
        <f>--(Table1[[#This Row],[Density P/F]]="FAIL")</f>
        <v>0</v>
      </c>
    </row>
    <row r="113" spans="1:22" x14ac:dyDescent="0.35">
      <c r="A113" s="4">
        <v>112</v>
      </c>
      <c r="B113" s="1" t="s">
        <v>257</v>
      </c>
      <c r="C113" s="1" t="s">
        <v>258</v>
      </c>
      <c r="D113" s="1" t="s">
        <v>134</v>
      </c>
      <c r="E113" s="1" t="s">
        <v>156</v>
      </c>
      <c r="F113" s="1" t="s">
        <v>21</v>
      </c>
      <c r="G113" s="1">
        <v>22.3</v>
      </c>
      <c r="H113" s="1">
        <v>33.67</v>
      </c>
      <c r="I113" s="1">
        <v>52.21</v>
      </c>
      <c r="J113" s="1">
        <v>3.57</v>
      </c>
      <c r="K113" s="1">
        <v>0.56520000000000004</v>
      </c>
      <c r="L113" s="3" t="s">
        <v>23</v>
      </c>
      <c r="M113" s="2" t="s">
        <v>22</v>
      </c>
      <c r="N113" s="2" t="s">
        <v>22</v>
      </c>
      <c r="O113" s="2" t="s">
        <v>22</v>
      </c>
      <c r="P113" s="2" t="s">
        <v>22</v>
      </c>
      <c r="Q113" s="5" t="s">
        <v>23</v>
      </c>
      <c r="R113" s="2">
        <f>--(Table1[[#This Row],[Propane P/F]]="FAIL")</f>
        <v>1</v>
      </c>
      <c r="S113" s="2">
        <f>--(Table1[[#This Row],[Isobutane P/F]]="FAIL")</f>
        <v>0</v>
      </c>
      <c r="T113" s="18">
        <f>--(Table1[[#This Row],[n-Butane P/F]]="FAIL")</f>
        <v>0</v>
      </c>
      <c r="U113" s="18">
        <f>--(Table1[[#This Row],[VP P/F]]="FAIL")</f>
        <v>0</v>
      </c>
      <c r="V113" s="18">
        <f>--(Table1[[#This Row],[Density P/F]]="FAIL")</f>
        <v>0</v>
      </c>
    </row>
    <row r="114" spans="1:22" x14ac:dyDescent="0.35">
      <c r="A114" s="4">
        <v>113</v>
      </c>
      <c r="B114" s="1" t="s">
        <v>259</v>
      </c>
      <c r="C114" s="1" t="s">
        <v>260</v>
      </c>
      <c r="D114" s="1" t="s">
        <v>134</v>
      </c>
      <c r="E114" s="1" t="s">
        <v>156</v>
      </c>
      <c r="F114" s="1" t="s">
        <v>21</v>
      </c>
      <c r="G114" s="1">
        <v>11.3</v>
      </c>
      <c r="H114" s="1">
        <v>28.75</v>
      </c>
      <c r="I114" s="1">
        <v>55.37</v>
      </c>
      <c r="J114" s="1">
        <v>3.83</v>
      </c>
      <c r="K114" s="1">
        <v>0.57440000000000002</v>
      </c>
      <c r="L114" s="2" t="s">
        <v>22</v>
      </c>
      <c r="M114" s="2" t="s">
        <v>22</v>
      </c>
      <c r="N114" s="2" t="s">
        <v>22</v>
      </c>
      <c r="O114" s="2" t="s">
        <v>22</v>
      </c>
      <c r="P114" s="2" t="s">
        <v>22</v>
      </c>
      <c r="Q114" s="6" t="s">
        <v>22</v>
      </c>
      <c r="R114" s="2">
        <f>--(Table1[[#This Row],[Propane P/F]]="FAIL")</f>
        <v>0</v>
      </c>
      <c r="S114" s="2">
        <f>--(Table1[[#This Row],[Isobutane P/F]]="FAIL")</f>
        <v>0</v>
      </c>
      <c r="T114" s="18">
        <f>--(Table1[[#This Row],[n-Butane P/F]]="FAIL")</f>
        <v>0</v>
      </c>
      <c r="U114" s="18">
        <f>--(Table1[[#This Row],[VP P/F]]="FAIL")</f>
        <v>0</v>
      </c>
      <c r="V114" s="18">
        <f>--(Table1[[#This Row],[Density P/F]]="FAIL")</f>
        <v>0</v>
      </c>
    </row>
    <row r="115" spans="1:22" x14ac:dyDescent="0.35">
      <c r="A115" s="4">
        <v>114</v>
      </c>
      <c r="B115" s="1" t="s">
        <v>261</v>
      </c>
      <c r="C115" s="1" t="s">
        <v>262</v>
      </c>
      <c r="D115" s="1" t="s">
        <v>134</v>
      </c>
      <c r="E115" s="1" t="s">
        <v>156</v>
      </c>
      <c r="F115" s="1" t="s">
        <v>21</v>
      </c>
      <c r="G115" s="1">
        <v>14.31</v>
      </c>
      <c r="H115" s="1">
        <v>27.89</v>
      </c>
      <c r="I115" s="1">
        <v>65.03</v>
      </c>
      <c r="J115" s="1">
        <v>3.92</v>
      </c>
      <c r="K115" s="1">
        <v>0.57199999999999995</v>
      </c>
      <c r="L115" s="2" t="s">
        <v>22</v>
      </c>
      <c r="M115" s="2" t="s">
        <v>22</v>
      </c>
      <c r="N115" s="2" t="s">
        <v>22</v>
      </c>
      <c r="O115" s="2" t="s">
        <v>22</v>
      </c>
      <c r="P115" s="2" t="s">
        <v>22</v>
      </c>
      <c r="Q115" s="6" t="s">
        <v>22</v>
      </c>
      <c r="R115" s="2">
        <f>--(Table1[[#This Row],[Propane P/F]]="FAIL")</f>
        <v>0</v>
      </c>
      <c r="S115" s="2">
        <f>--(Table1[[#This Row],[Isobutane P/F]]="FAIL")</f>
        <v>0</v>
      </c>
      <c r="T115" s="18">
        <f>--(Table1[[#This Row],[n-Butane P/F]]="FAIL")</f>
        <v>0</v>
      </c>
      <c r="U115" s="18">
        <f>--(Table1[[#This Row],[VP P/F]]="FAIL")</f>
        <v>0</v>
      </c>
      <c r="V115" s="18">
        <f>--(Table1[[#This Row],[Density P/F]]="FAIL")</f>
        <v>0</v>
      </c>
    </row>
    <row r="116" spans="1:22" hidden="1" x14ac:dyDescent="0.35">
      <c r="A116" s="4">
        <v>115</v>
      </c>
      <c r="B116" s="1" t="s">
        <v>263</v>
      </c>
      <c r="C116" s="1" t="s">
        <v>264</v>
      </c>
      <c r="D116" s="1" t="s">
        <v>134</v>
      </c>
      <c r="E116" s="1" t="s">
        <v>156</v>
      </c>
      <c r="F116" s="1" t="s">
        <v>32</v>
      </c>
      <c r="G116" s="1">
        <v>0.48</v>
      </c>
      <c r="H116" s="1">
        <v>41.33</v>
      </c>
      <c r="I116" s="1">
        <v>62.09</v>
      </c>
      <c r="J116" s="1">
        <v>3.06</v>
      </c>
      <c r="K116" s="1">
        <v>0.5917</v>
      </c>
      <c r="L116" s="2" t="s">
        <v>22</v>
      </c>
      <c r="M116" s="2" t="s">
        <v>22</v>
      </c>
      <c r="N116" s="2" t="s">
        <v>22</v>
      </c>
      <c r="O116" s="2" t="s">
        <v>22</v>
      </c>
      <c r="P116" s="3" t="s">
        <v>23</v>
      </c>
      <c r="Q116" s="5" t="s">
        <v>23</v>
      </c>
      <c r="R116" s="2">
        <f>--(Table1[[#This Row],[Propane P/F]]="FAIL")</f>
        <v>0</v>
      </c>
      <c r="S116" s="2">
        <f>--(Table1[[#This Row],[Isobutane P/F]]="FAIL")</f>
        <v>0</v>
      </c>
      <c r="T116" s="18">
        <f>--(Table1[[#This Row],[n-Butane P/F]]="FAIL")</f>
        <v>0</v>
      </c>
      <c r="U116" s="18">
        <f>--(Table1[[#This Row],[VP P/F]]="FAIL")</f>
        <v>0</v>
      </c>
      <c r="V116" s="18">
        <f>--(Table1[[#This Row],[Density P/F]]="FAIL")</f>
        <v>1</v>
      </c>
    </row>
    <row r="117" spans="1:22" x14ac:dyDescent="0.35">
      <c r="A117" s="4">
        <v>116</v>
      </c>
      <c r="B117" s="1" t="s">
        <v>265</v>
      </c>
      <c r="C117" s="1" t="s">
        <v>266</v>
      </c>
      <c r="D117" s="1" t="s">
        <v>145</v>
      </c>
      <c r="E117" s="1" t="s">
        <v>156</v>
      </c>
      <c r="F117" s="1" t="s">
        <v>21</v>
      </c>
      <c r="G117" s="1">
        <v>15.28</v>
      </c>
      <c r="H117" s="1">
        <v>29.22</v>
      </c>
      <c r="I117" s="1">
        <v>56.65</v>
      </c>
      <c r="J117" s="1">
        <v>4.45</v>
      </c>
      <c r="K117" s="1">
        <v>0.57850000000000001</v>
      </c>
      <c r="L117" s="2" t="s">
        <v>22</v>
      </c>
      <c r="M117" s="2" t="s">
        <v>22</v>
      </c>
      <c r="N117" s="2" t="s">
        <v>22</v>
      </c>
      <c r="O117" s="2" t="s">
        <v>22</v>
      </c>
      <c r="P117" s="2" t="s">
        <v>22</v>
      </c>
      <c r="Q117" s="6" t="s">
        <v>22</v>
      </c>
      <c r="R117" s="2">
        <f>--(Table1[[#This Row],[Propane P/F]]="FAIL")</f>
        <v>0</v>
      </c>
      <c r="S117" s="2">
        <f>--(Table1[[#This Row],[Isobutane P/F]]="FAIL")</f>
        <v>0</v>
      </c>
      <c r="T117" s="18">
        <f>--(Table1[[#This Row],[n-Butane P/F]]="FAIL")</f>
        <v>0</v>
      </c>
      <c r="U117" s="18">
        <f>--(Table1[[#This Row],[VP P/F]]="FAIL")</f>
        <v>0</v>
      </c>
      <c r="V117" s="18">
        <f>--(Table1[[#This Row],[Density P/F]]="FAIL")</f>
        <v>0</v>
      </c>
    </row>
    <row r="118" spans="1:22" x14ac:dyDescent="0.35">
      <c r="A118" s="4">
        <v>117</v>
      </c>
      <c r="B118" s="1" t="s">
        <v>267</v>
      </c>
      <c r="C118" s="1" t="s">
        <v>268</v>
      </c>
      <c r="D118" s="1" t="s">
        <v>145</v>
      </c>
      <c r="E118" s="1" t="s">
        <v>156</v>
      </c>
      <c r="F118" s="1" t="s">
        <v>21</v>
      </c>
      <c r="G118" s="1">
        <v>11.31</v>
      </c>
      <c r="H118" s="1">
        <v>26.33</v>
      </c>
      <c r="I118" s="1">
        <v>65.38</v>
      </c>
      <c r="J118" s="1">
        <v>3.42</v>
      </c>
      <c r="K118" s="1">
        <v>0.5585</v>
      </c>
      <c r="L118" s="2" t="s">
        <v>22</v>
      </c>
      <c r="M118" s="2" t="s">
        <v>22</v>
      </c>
      <c r="N118" s="2" t="s">
        <v>22</v>
      </c>
      <c r="O118" s="2" t="s">
        <v>22</v>
      </c>
      <c r="P118" s="3" t="s">
        <v>23</v>
      </c>
      <c r="Q118" s="5" t="s">
        <v>23</v>
      </c>
      <c r="R118" s="2">
        <f>--(Table1[[#This Row],[Propane P/F]]="FAIL")</f>
        <v>0</v>
      </c>
      <c r="S118" s="2">
        <f>--(Table1[[#This Row],[Isobutane P/F]]="FAIL")</f>
        <v>0</v>
      </c>
      <c r="T118" s="18">
        <f>--(Table1[[#This Row],[n-Butane P/F]]="FAIL")</f>
        <v>0</v>
      </c>
      <c r="U118" s="18">
        <f>--(Table1[[#This Row],[VP P/F]]="FAIL")</f>
        <v>0</v>
      </c>
      <c r="V118" s="18">
        <f>--(Table1[[#This Row],[Density P/F]]="FAIL")</f>
        <v>1</v>
      </c>
    </row>
    <row r="119" spans="1:22" x14ac:dyDescent="0.35">
      <c r="A119" s="4">
        <v>118</v>
      </c>
      <c r="B119" s="1" t="s">
        <v>269</v>
      </c>
      <c r="C119" s="1" t="s">
        <v>270</v>
      </c>
      <c r="D119" s="1" t="s">
        <v>145</v>
      </c>
      <c r="E119" s="1" t="s">
        <v>156</v>
      </c>
      <c r="F119" s="1" t="s">
        <v>21</v>
      </c>
      <c r="G119" s="1">
        <v>16.34</v>
      </c>
      <c r="H119" s="1">
        <v>38.520000000000003</v>
      </c>
      <c r="I119" s="1">
        <v>70.03</v>
      </c>
      <c r="J119" s="1">
        <v>4.18</v>
      </c>
      <c r="K119" s="1">
        <v>0.57799999999999996</v>
      </c>
      <c r="L119" s="2" t="s">
        <v>22</v>
      </c>
      <c r="M119" s="2" t="s">
        <v>22</v>
      </c>
      <c r="N119" s="2" t="s">
        <v>22</v>
      </c>
      <c r="O119" s="2" t="s">
        <v>22</v>
      </c>
      <c r="P119" s="2" t="s">
        <v>22</v>
      </c>
      <c r="Q119" s="6" t="s">
        <v>22</v>
      </c>
      <c r="R119" s="2">
        <f>--(Table1[[#This Row],[Propane P/F]]="FAIL")</f>
        <v>0</v>
      </c>
      <c r="S119" s="2">
        <f>--(Table1[[#This Row],[Isobutane P/F]]="FAIL")</f>
        <v>0</v>
      </c>
      <c r="T119" s="18">
        <f>--(Table1[[#This Row],[n-Butane P/F]]="FAIL")</f>
        <v>0</v>
      </c>
      <c r="U119" s="18">
        <f>--(Table1[[#This Row],[VP P/F]]="FAIL")</f>
        <v>0</v>
      </c>
      <c r="V119" s="18">
        <f>--(Table1[[#This Row],[Density P/F]]="FAIL")</f>
        <v>0</v>
      </c>
    </row>
    <row r="120" spans="1:22" x14ac:dyDescent="0.35">
      <c r="A120" s="4">
        <v>119</v>
      </c>
      <c r="B120" s="1" t="s">
        <v>271</v>
      </c>
      <c r="C120" s="1" t="s">
        <v>272</v>
      </c>
      <c r="D120" s="1" t="s">
        <v>145</v>
      </c>
      <c r="E120" s="1" t="s">
        <v>156</v>
      </c>
      <c r="F120" s="1" t="s">
        <v>21</v>
      </c>
      <c r="G120" s="1">
        <v>9.76</v>
      </c>
      <c r="H120" s="1">
        <v>35.43</v>
      </c>
      <c r="I120" s="1">
        <v>54.82</v>
      </c>
      <c r="J120" s="1">
        <v>3.6</v>
      </c>
      <c r="K120" s="1">
        <v>0.56399999999999995</v>
      </c>
      <c r="L120" s="2" t="s">
        <v>22</v>
      </c>
      <c r="M120" s="2" t="s">
        <v>22</v>
      </c>
      <c r="N120" s="2" t="s">
        <v>22</v>
      </c>
      <c r="O120" s="2" t="s">
        <v>22</v>
      </c>
      <c r="P120" s="2" t="s">
        <v>22</v>
      </c>
      <c r="Q120" s="6" t="s">
        <v>22</v>
      </c>
      <c r="R120" s="2">
        <f>--(Table1[[#This Row],[Propane P/F]]="FAIL")</f>
        <v>0</v>
      </c>
      <c r="S120" s="2">
        <f>--(Table1[[#This Row],[Isobutane P/F]]="FAIL")</f>
        <v>0</v>
      </c>
      <c r="T120" s="18">
        <f>--(Table1[[#This Row],[n-Butane P/F]]="FAIL")</f>
        <v>0</v>
      </c>
      <c r="U120" s="18">
        <f>--(Table1[[#This Row],[VP P/F]]="FAIL")</f>
        <v>0</v>
      </c>
      <c r="V120" s="18">
        <f>--(Table1[[#This Row],[Density P/F]]="FAIL")</f>
        <v>0</v>
      </c>
    </row>
    <row r="121" spans="1:22" hidden="1" x14ac:dyDescent="0.35">
      <c r="A121" s="4">
        <v>120</v>
      </c>
      <c r="B121" s="1" t="s">
        <v>273</v>
      </c>
      <c r="C121" s="1" t="s">
        <v>274</v>
      </c>
      <c r="D121" s="1" t="s">
        <v>145</v>
      </c>
      <c r="E121" s="1" t="s">
        <v>156</v>
      </c>
      <c r="F121" s="1" t="s">
        <v>32</v>
      </c>
      <c r="G121" s="1">
        <v>0.61</v>
      </c>
      <c r="H121" s="1">
        <v>37.090000000000003</v>
      </c>
      <c r="I121" s="1">
        <v>54.87</v>
      </c>
      <c r="J121" s="1">
        <v>3.09</v>
      </c>
      <c r="K121" s="1">
        <v>0.58819999999999995</v>
      </c>
      <c r="L121" s="2" t="s">
        <v>22</v>
      </c>
      <c r="M121" s="2" t="s">
        <v>22</v>
      </c>
      <c r="N121" s="2" t="s">
        <v>22</v>
      </c>
      <c r="O121" s="2" t="s">
        <v>22</v>
      </c>
      <c r="P121" s="3" t="s">
        <v>23</v>
      </c>
      <c r="Q121" s="5" t="s">
        <v>23</v>
      </c>
      <c r="R121" s="2">
        <f>--(Table1[[#This Row],[Propane P/F]]="FAIL")</f>
        <v>0</v>
      </c>
      <c r="S121" s="2">
        <f>--(Table1[[#This Row],[Isobutane P/F]]="FAIL")</f>
        <v>0</v>
      </c>
      <c r="T121" s="18">
        <f>--(Table1[[#This Row],[n-Butane P/F]]="FAIL")</f>
        <v>0</v>
      </c>
      <c r="U121" s="18">
        <f>--(Table1[[#This Row],[VP P/F]]="FAIL")</f>
        <v>0</v>
      </c>
      <c r="V121" s="18">
        <f>--(Table1[[#This Row],[Density P/F]]="FAIL")</f>
        <v>1</v>
      </c>
    </row>
    <row r="122" spans="1:22" x14ac:dyDescent="0.35">
      <c r="A122" s="4">
        <v>121</v>
      </c>
      <c r="B122" s="1" t="s">
        <v>275</v>
      </c>
      <c r="C122" s="1" t="s">
        <v>276</v>
      </c>
      <c r="D122" s="1" t="s">
        <v>19</v>
      </c>
      <c r="E122" s="1" t="s">
        <v>277</v>
      </c>
      <c r="F122" s="1" t="s">
        <v>21</v>
      </c>
      <c r="G122" s="1">
        <v>15.97</v>
      </c>
      <c r="H122" s="1">
        <v>24.16</v>
      </c>
      <c r="I122" s="1">
        <v>52.91</v>
      </c>
      <c r="J122" s="1">
        <v>3.97</v>
      </c>
      <c r="K122" s="1">
        <v>0.58130000000000004</v>
      </c>
      <c r="L122" s="2" t="s">
        <v>22</v>
      </c>
      <c r="M122" s="2" t="s">
        <v>22</v>
      </c>
      <c r="N122" s="2" t="s">
        <v>22</v>
      </c>
      <c r="O122" s="2" t="s">
        <v>22</v>
      </c>
      <c r="P122" s="3" t="s">
        <v>23</v>
      </c>
      <c r="Q122" s="5" t="s">
        <v>23</v>
      </c>
      <c r="R122" s="2">
        <f>--(Table1[[#This Row],[Propane P/F]]="FAIL")</f>
        <v>0</v>
      </c>
      <c r="S122" s="2">
        <f>--(Table1[[#This Row],[Isobutane P/F]]="FAIL")</f>
        <v>0</v>
      </c>
      <c r="T122" s="18">
        <f>--(Table1[[#This Row],[n-Butane P/F]]="FAIL")</f>
        <v>0</v>
      </c>
      <c r="U122" s="18">
        <f>--(Table1[[#This Row],[VP P/F]]="FAIL")</f>
        <v>0</v>
      </c>
      <c r="V122" s="18">
        <f>--(Table1[[#This Row],[Density P/F]]="FAIL")</f>
        <v>1</v>
      </c>
    </row>
    <row r="123" spans="1:22" x14ac:dyDescent="0.35">
      <c r="A123" s="4">
        <v>122</v>
      </c>
      <c r="B123" s="1" t="s">
        <v>278</v>
      </c>
      <c r="C123" s="1" t="s">
        <v>279</v>
      </c>
      <c r="D123" s="1" t="s">
        <v>19</v>
      </c>
      <c r="E123" s="1" t="s">
        <v>277</v>
      </c>
      <c r="F123" s="1" t="s">
        <v>21</v>
      </c>
      <c r="G123" s="1">
        <v>16.97</v>
      </c>
      <c r="H123" s="1">
        <v>25.63</v>
      </c>
      <c r="I123" s="1">
        <v>68.14</v>
      </c>
      <c r="J123" s="1">
        <v>3.91</v>
      </c>
      <c r="K123" s="1">
        <v>0.57740000000000002</v>
      </c>
      <c r="L123" s="2" t="s">
        <v>22</v>
      </c>
      <c r="M123" s="2" t="s">
        <v>22</v>
      </c>
      <c r="N123" s="2" t="s">
        <v>22</v>
      </c>
      <c r="O123" s="2" t="s">
        <v>22</v>
      </c>
      <c r="P123" s="2" t="s">
        <v>22</v>
      </c>
      <c r="Q123" s="6" t="s">
        <v>22</v>
      </c>
      <c r="R123" s="2">
        <f>--(Table1[[#This Row],[Propane P/F]]="FAIL")</f>
        <v>0</v>
      </c>
      <c r="S123" s="2">
        <f>--(Table1[[#This Row],[Isobutane P/F]]="FAIL")</f>
        <v>0</v>
      </c>
      <c r="T123" s="18">
        <f>--(Table1[[#This Row],[n-Butane P/F]]="FAIL")</f>
        <v>0</v>
      </c>
      <c r="U123" s="18">
        <f>--(Table1[[#This Row],[VP P/F]]="FAIL")</f>
        <v>0</v>
      </c>
      <c r="V123" s="18">
        <f>--(Table1[[#This Row],[Density P/F]]="FAIL")</f>
        <v>0</v>
      </c>
    </row>
    <row r="124" spans="1:22" x14ac:dyDescent="0.35">
      <c r="A124" s="4">
        <v>123</v>
      </c>
      <c r="B124" s="1" t="s">
        <v>280</v>
      </c>
      <c r="C124" s="1" t="s">
        <v>281</v>
      </c>
      <c r="D124" s="1" t="s">
        <v>19</v>
      </c>
      <c r="E124" s="1" t="s">
        <v>277</v>
      </c>
      <c r="F124" s="1" t="s">
        <v>21</v>
      </c>
      <c r="G124" s="1">
        <v>8.3800000000000008</v>
      </c>
      <c r="H124" s="1">
        <v>38.33</v>
      </c>
      <c r="I124" s="1">
        <v>53.1</v>
      </c>
      <c r="J124" s="1">
        <v>4.41</v>
      </c>
      <c r="K124" s="1">
        <v>0.5786</v>
      </c>
      <c r="L124" s="2" t="s">
        <v>22</v>
      </c>
      <c r="M124" s="2" t="s">
        <v>22</v>
      </c>
      <c r="N124" s="2" t="s">
        <v>22</v>
      </c>
      <c r="O124" s="2" t="s">
        <v>22</v>
      </c>
      <c r="P124" s="2" t="s">
        <v>22</v>
      </c>
      <c r="Q124" s="6" t="s">
        <v>22</v>
      </c>
      <c r="R124" s="2">
        <f>--(Table1[[#This Row],[Propane P/F]]="FAIL")</f>
        <v>0</v>
      </c>
      <c r="S124" s="2">
        <f>--(Table1[[#This Row],[Isobutane P/F]]="FAIL")</f>
        <v>0</v>
      </c>
      <c r="T124" s="18">
        <f>--(Table1[[#This Row],[n-Butane P/F]]="FAIL")</f>
        <v>0</v>
      </c>
      <c r="U124" s="18">
        <f>--(Table1[[#This Row],[VP P/F]]="FAIL")</f>
        <v>0</v>
      </c>
      <c r="V124" s="18">
        <f>--(Table1[[#This Row],[Density P/F]]="FAIL")</f>
        <v>0</v>
      </c>
    </row>
    <row r="125" spans="1:22" x14ac:dyDescent="0.35">
      <c r="A125" s="4">
        <v>124</v>
      </c>
      <c r="B125" s="1" t="s">
        <v>282</v>
      </c>
      <c r="C125" s="1" t="s">
        <v>283</v>
      </c>
      <c r="D125" s="1" t="s">
        <v>19</v>
      </c>
      <c r="E125" s="1" t="s">
        <v>277</v>
      </c>
      <c r="F125" s="1" t="s">
        <v>21</v>
      </c>
      <c r="G125" s="1">
        <v>18.61</v>
      </c>
      <c r="H125" s="1">
        <v>35.479999999999997</v>
      </c>
      <c r="I125" s="1">
        <v>58.05</v>
      </c>
      <c r="J125" s="1">
        <v>4.2300000000000004</v>
      </c>
      <c r="K125" s="1">
        <v>0.55830000000000002</v>
      </c>
      <c r="L125" s="2" t="s">
        <v>22</v>
      </c>
      <c r="M125" s="2" t="s">
        <v>22</v>
      </c>
      <c r="N125" s="2" t="s">
        <v>22</v>
      </c>
      <c r="O125" s="2" t="s">
        <v>22</v>
      </c>
      <c r="P125" s="3" t="s">
        <v>23</v>
      </c>
      <c r="Q125" s="5" t="s">
        <v>23</v>
      </c>
      <c r="R125" s="2">
        <f>--(Table1[[#This Row],[Propane P/F]]="FAIL")</f>
        <v>0</v>
      </c>
      <c r="S125" s="2">
        <f>--(Table1[[#This Row],[Isobutane P/F]]="FAIL")</f>
        <v>0</v>
      </c>
      <c r="T125" s="18">
        <f>--(Table1[[#This Row],[n-Butane P/F]]="FAIL")</f>
        <v>0</v>
      </c>
      <c r="U125" s="18">
        <f>--(Table1[[#This Row],[VP P/F]]="FAIL")</f>
        <v>0</v>
      </c>
      <c r="V125" s="18">
        <f>--(Table1[[#This Row],[Density P/F]]="FAIL")</f>
        <v>1</v>
      </c>
    </row>
    <row r="126" spans="1:22" hidden="1" x14ac:dyDescent="0.35">
      <c r="A126" s="4">
        <v>125</v>
      </c>
      <c r="B126" s="1" t="s">
        <v>284</v>
      </c>
      <c r="C126" s="1" t="s">
        <v>285</v>
      </c>
      <c r="D126" s="1" t="s">
        <v>19</v>
      </c>
      <c r="E126" s="1" t="s">
        <v>277</v>
      </c>
      <c r="F126" s="1" t="s">
        <v>32</v>
      </c>
      <c r="G126" s="1">
        <v>0.6</v>
      </c>
      <c r="H126" s="1">
        <v>41.38</v>
      </c>
      <c r="I126" s="1">
        <v>66.94</v>
      </c>
      <c r="J126" s="1">
        <v>3.14</v>
      </c>
      <c r="K126" s="1">
        <v>0.59130000000000005</v>
      </c>
      <c r="L126" s="2" t="s">
        <v>22</v>
      </c>
      <c r="M126" s="2" t="s">
        <v>22</v>
      </c>
      <c r="N126" s="3" t="s">
        <v>23</v>
      </c>
      <c r="O126" s="2" t="s">
        <v>22</v>
      </c>
      <c r="P126" s="3" t="s">
        <v>23</v>
      </c>
      <c r="Q126" s="5" t="s">
        <v>23</v>
      </c>
      <c r="R126" s="2">
        <f>--(Table1[[#This Row],[Propane P/F]]="FAIL")</f>
        <v>0</v>
      </c>
      <c r="S126" s="2">
        <f>--(Table1[[#This Row],[Isobutane P/F]]="FAIL")</f>
        <v>0</v>
      </c>
      <c r="T126" s="18">
        <f>--(Table1[[#This Row],[n-Butane P/F]]="FAIL")</f>
        <v>1</v>
      </c>
      <c r="U126" s="18">
        <f>--(Table1[[#This Row],[VP P/F]]="FAIL")</f>
        <v>0</v>
      </c>
      <c r="V126" s="18">
        <f>--(Table1[[#This Row],[Density P/F]]="FAIL")</f>
        <v>1</v>
      </c>
    </row>
    <row r="127" spans="1:22" x14ac:dyDescent="0.35">
      <c r="A127" s="4">
        <v>126</v>
      </c>
      <c r="B127" s="1" t="s">
        <v>286</v>
      </c>
      <c r="C127" s="1" t="s">
        <v>287</v>
      </c>
      <c r="D127" s="1" t="s">
        <v>35</v>
      </c>
      <c r="E127" s="1" t="s">
        <v>277</v>
      </c>
      <c r="F127" s="1" t="s">
        <v>21</v>
      </c>
      <c r="G127" s="1">
        <v>7.76</v>
      </c>
      <c r="H127" s="1">
        <v>35.83</v>
      </c>
      <c r="I127" s="1">
        <v>70.010000000000005</v>
      </c>
      <c r="J127" s="1">
        <v>3.72</v>
      </c>
      <c r="K127" s="1">
        <v>0.56779999999999997</v>
      </c>
      <c r="L127" s="2" t="s">
        <v>22</v>
      </c>
      <c r="M127" s="2" t="s">
        <v>22</v>
      </c>
      <c r="N127" s="2" t="s">
        <v>22</v>
      </c>
      <c r="O127" s="2" t="s">
        <v>22</v>
      </c>
      <c r="P127" s="2" t="s">
        <v>22</v>
      </c>
      <c r="Q127" s="6" t="s">
        <v>22</v>
      </c>
      <c r="R127" s="2">
        <f>--(Table1[[#This Row],[Propane P/F]]="FAIL")</f>
        <v>0</v>
      </c>
      <c r="S127" s="2">
        <f>--(Table1[[#This Row],[Isobutane P/F]]="FAIL")</f>
        <v>0</v>
      </c>
      <c r="T127" s="18">
        <f>--(Table1[[#This Row],[n-Butane P/F]]="FAIL")</f>
        <v>0</v>
      </c>
      <c r="U127" s="18">
        <f>--(Table1[[#This Row],[VP P/F]]="FAIL")</f>
        <v>0</v>
      </c>
      <c r="V127" s="18">
        <f>--(Table1[[#This Row],[Density P/F]]="FAIL")</f>
        <v>0</v>
      </c>
    </row>
    <row r="128" spans="1:22" x14ac:dyDescent="0.35">
      <c r="A128" s="4">
        <v>127</v>
      </c>
      <c r="B128" s="1" t="s">
        <v>288</v>
      </c>
      <c r="C128" s="1" t="s">
        <v>289</v>
      </c>
      <c r="D128" s="1" t="s">
        <v>35</v>
      </c>
      <c r="E128" s="1" t="s">
        <v>277</v>
      </c>
      <c r="F128" s="1" t="s">
        <v>21</v>
      </c>
      <c r="G128" s="1">
        <v>10.65</v>
      </c>
      <c r="H128" s="1">
        <v>29.87</v>
      </c>
      <c r="I128" s="1">
        <v>52.14</v>
      </c>
      <c r="J128" s="1">
        <v>4.33</v>
      </c>
      <c r="K128" s="1">
        <v>0.56130000000000002</v>
      </c>
      <c r="L128" s="2" t="s">
        <v>22</v>
      </c>
      <c r="M128" s="2" t="s">
        <v>22</v>
      </c>
      <c r="N128" s="2" t="s">
        <v>22</v>
      </c>
      <c r="O128" s="2" t="s">
        <v>22</v>
      </c>
      <c r="P128" s="2" t="s">
        <v>22</v>
      </c>
      <c r="Q128" s="6" t="s">
        <v>22</v>
      </c>
      <c r="R128" s="2">
        <f>--(Table1[[#This Row],[Propane P/F]]="FAIL")</f>
        <v>0</v>
      </c>
      <c r="S128" s="2">
        <f>--(Table1[[#This Row],[Isobutane P/F]]="FAIL")</f>
        <v>0</v>
      </c>
      <c r="T128" s="18">
        <f>--(Table1[[#This Row],[n-Butane P/F]]="FAIL")</f>
        <v>0</v>
      </c>
      <c r="U128" s="18">
        <f>--(Table1[[#This Row],[VP P/F]]="FAIL")</f>
        <v>0</v>
      </c>
      <c r="V128" s="18">
        <f>--(Table1[[#This Row],[Density P/F]]="FAIL")</f>
        <v>0</v>
      </c>
    </row>
    <row r="129" spans="1:22" x14ac:dyDescent="0.35">
      <c r="A129" s="4">
        <v>128</v>
      </c>
      <c r="B129" s="1" t="s">
        <v>290</v>
      </c>
      <c r="C129" s="1" t="s">
        <v>291</v>
      </c>
      <c r="D129" s="1" t="s">
        <v>35</v>
      </c>
      <c r="E129" s="1" t="s">
        <v>277</v>
      </c>
      <c r="F129" s="1" t="s">
        <v>21</v>
      </c>
      <c r="G129" s="1">
        <v>15.92</v>
      </c>
      <c r="H129" s="1">
        <v>38.03</v>
      </c>
      <c r="I129" s="1">
        <v>59.22</v>
      </c>
      <c r="J129" s="1">
        <v>4.18</v>
      </c>
      <c r="K129" s="1">
        <v>0.56169999999999998</v>
      </c>
      <c r="L129" s="2" t="s">
        <v>22</v>
      </c>
      <c r="M129" s="2" t="s">
        <v>22</v>
      </c>
      <c r="N129" s="2" t="s">
        <v>22</v>
      </c>
      <c r="O129" s="2" t="s">
        <v>22</v>
      </c>
      <c r="P129" s="2" t="s">
        <v>22</v>
      </c>
      <c r="Q129" s="6" t="s">
        <v>22</v>
      </c>
      <c r="R129" s="2">
        <f>--(Table1[[#This Row],[Propane P/F]]="FAIL")</f>
        <v>0</v>
      </c>
      <c r="S129" s="2">
        <f>--(Table1[[#This Row],[Isobutane P/F]]="FAIL")</f>
        <v>0</v>
      </c>
      <c r="T129" s="18">
        <f>--(Table1[[#This Row],[n-Butane P/F]]="FAIL")</f>
        <v>0</v>
      </c>
      <c r="U129" s="18">
        <f>--(Table1[[#This Row],[VP P/F]]="FAIL")</f>
        <v>0</v>
      </c>
      <c r="V129" s="18">
        <f>--(Table1[[#This Row],[Density P/F]]="FAIL")</f>
        <v>0</v>
      </c>
    </row>
    <row r="130" spans="1:22" x14ac:dyDescent="0.35">
      <c r="A130" s="4">
        <v>129</v>
      </c>
      <c r="B130" s="1" t="s">
        <v>292</v>
      </c>
      <c r="C130" s="1" t="s">
        <v>293</v>
      </c>
      <c r="D130" s="1" t="s">
        <v>35</v>
      </c>
      <c r="E130" s="1" t="s">
        <v>277</v>
      </c>
      <c r="F130" s="1" t="s">
        <v>21</v>
      </c>
      <c r="G130" s="1">
        <v>12.87</v>
      </c>
      <c r="H130" s="1">
        <v>28.35</v>
      </c>
      <c r="I130" s="1">
        <v>70.930000000000007</v>
      </c>
      <c r="J130" s="1">
        <v>3.43</v>
      </c>
      <c r="K130" s="1">
        <v>0.56689999999999996</v>
      </c>
      <c r="L130" s="2" t="s">
        <v>22</v>
      </c>
      <c r="M130" s="2" t="s">
        <v>22</v>
      </c>
      <c r="N130" s="2" t="s">
        <v>22</v>
      </c>
      <c r="O130" s="2" t="s">
        <v>22</v>
      </c>
      <c r="P130" s="2" t="s">
        <v>22</v>
      </c>
      <c r="Q130" s="6" t="s">
        <v>22</v>
      </c>
      <c r="R130" s="2">
        <f>--(Table1[[#This Row],[Propane P/F]]="FAIL")</f>
        <v>0</v>
      </c>
      <c r="S130" s="2">
        <f>--(Table1[[#This Row],[Isobutane P/F]]="FAIL")</f>
        <v>0</v>
      </c>
      <c r="T130" s="18">
        <f>--(Table1[[#This Row],[n-Butane P/F]]="FAIL")</f>
        <v>0</v>
      </c>
      <c r="U130" s="18">
        <f>--(Table1[[#This Row],[VP P/F]]="FAIL")</f>
        <v>0</v>
      </c>
      <c r="V130" s="18">
        <f>--(Table1[[#This Row],[Density P/F]]="FAIL")</f>
        <v>0</v>
      </c>
    </row>
    <row r="131" spans="1:22" hidden="1" x14ac:dyDescent="0.35">
      <c r="A131" s="4">
        <v>130</v>
      </c>
      <c r="B131" s="1" t="s">
        <v>294</v>
      </c>
      <c r="C131" s="1" t="s">
        <v>295</v>
      </c>
      <c r="D131" s="1" t="s">
        <v>35</v>
      </c>
      <c r="E131" s="1" t="s">
        <v>277</v>
      </c>
      <c r="F131" s="1" t="s">
        <v>32</v>
      </c>
      <c r="G131" s="1">
        <v>0.71</v>
      </c>
      <c r="H131" s="1">
        <v>36.79</v>
      </c>
      <c r="I131" s="1">
        <v>60.17</v>
      </c>
      <c r="J131" s="1">
        <v>3.08</v>
      </c>
      <c r="K131" s="1">
        <v>0.58560000000000001</v>
      </c>
      <c r="L131" s="2" t="s">
        <v>22</v>
      </c>
      <c r="M131" s="2" t="s">
        <v>22</v>
      </c>
      <c r="N131" s="2" t="s">
        <v>22</v>
      </c>
      <c r="O131" s="2" t="s">
        <v>22</v>
      </c>
      <c r="P131" s="3" t="s">
        <v>23</v>
      </c>
      <c r="Q131" s="5" t="s">
        <v>23</v>
      </c>
      <c r="R131" s="2">
        <f>--(Table1[[#This Row],[Propane P/F]]="FAIL")</f>
        <v>0</v>
      </c>
      <c r="S131" s="2">
        <f>--(Table1[[#This Row],[Isobutane P/F]]="FAIL")</f>
        <v>0</v>
      </c>
      <c r="T131" s="18">
        <f>--(Table1[[#This Row],[n-Butane P/F]]="FAIL")</f>
        <v>0</v>
      </c>
      <c r="U131" s="18">
        <f>--(Table1[[#This Row],[VP P/F]]="FAIL")</f>
        <v>0</v>
      </c>
      <c r="V131" s="18">
        <f>--(Table1[[#This Row],[Density P/F]]="FAIL")</f>
        <v>1</v>
      </c>
    </row>
    <row r="132" spans="1:22" x14ac:dyDescent="0.35">
      <c r="A132" s="4">
        <v>131</v>
      </c>
      <c r="B132" s="1" t="s">
        <v>296</v>
      </c>
      <c r="C132" s="1" t="s">
        <v>297</v>
      </c>
      <c r="D132" s="1" t="s">
        <v>46</v>
      </c>
      <c r="E132" s="1" t="s">
        <v>277</v>
      </c>
      <c r="F132" s="1" t="s">
        <v>21</v>
      </c>
      <c r="G132" s="1">
        <v>12.46</v>
      </c>
      <c r="H132" s="1">
        <v>32.93</v>
      </c>
      <c r="I132" s="1">
        <v>64.12</v>
      </c>
      <c r="J132" s="1">
        <v>4.03</v>
      </c>
      <c r="K132" s="1">
        <v>0.5585</v>
      </c>
      <c r="L132" s="2" t="s">
        <v>22</v>
      </c>
      <c r="M132" s="2" t="s">
        <v>22</v>
      </c>
      <c r="N132" s="2" t="s">
        <v>22</v>
      </c>
      <c r="O132" s="2" t="s">
        <v>22</v>
      </c>
      <c r="P132" s="3" t="s">
        <v>23</v>
      </c>
      <c r="Q132" s="5" t="s">
        <v>23</v>
      </c>
      <c r="R132" s="2">
        <f>--(Table1[[#This Row],[Propane P/F]]="FAIL")</f>
        <v>0</v>
      </c>
      <c r="S132" s="2">
        <f>--(Table1[[#This Row],[Isobutane P/F]]="FAIL")</f>
        <v>0</v>
      </c>
      <c r="T132" s="18">
        <f>--(Table1[[#This Row],[n-Butane P/F]]="FAIL")</f>
        <v>0</v>
      </c>
      <c r="U132" s="18">
        <f>--(Table1[[#This Row],[VP P/F]]="FAIL")</f>
        <v>0</v>
      </c>
      <c r="V132" s="18">
        <f>--(Table1[[#This Row],[Density P/F]]="FAIL")</f>
        <v>1</v>
      </c>
    </row>
    <row r="133" spans="1:22" x14ac:dyDescent="0.35">
      <c r="A133" s="4">
        <v>132</v>
      </c>
      <c r="B133" s="1" t="s">
        <v>298</v>
      </c>
      <c r="C133" s="1" t="s">
        <v>299</v>
      </c>
      <c r="D133" s="1" t="s">
        <v>46</v>
      </c>
      <c r="E133" s="1" t="s">
        <v>277</v>
      </c>
      <c r="F133" s="1" t="s">
        <v>21</v>
      </c>
      <c r="G133" s="1">
        <v>8.51</v>
      </c>
      <c r="H133" s="1">
        <v>31.16</v>
      </c>
      <c r="I133" s="1">
        <v>51.51</v>
      </c>
      <c r="J133" s="1">
        <v>4.2</v>
      </c>
      <c r="K133" s="1">
        <v>0.56299999999999994</v>
      </c>
      <c r="L133" s="2" t="s">
        <v>22</v>
      </c>
      <c r="M133" s="2" t="s">
        <v>22</v>
      </c>
      <c r="N133" s="2" t="s">
        <v>22</v>
      </c>
      <c r="O133" s="2" t="s">
        <v>22</v>
      </c>
      <c r="P133" s="2" t="s">
        <v>22</v>
      </c>
      <c r="Q133" s="6" t="s">
        <v>22</v>
      </c>
      <c r="R133" s="2">
        <f>--(Table1[[#This Row],[Propane P/F]]="FAIL")</f>
        <v>0</v>
      </c>
      <c r="S133" s="2">
        <f>--(Table1[[#This Row],[Isobutane P/F]]="FAIL")</f>
        <v>0</v>
      </c>
      <c r="T133" s="18">
        <f>--(Table1[[#This Row],[n-Butane P/F]]="FAIL")</f>
        <v>0</v>
      </c>
      <c r="U133" s="18">
        <f>--(Table1[[#This Row],[VP P/F]]="FAIL")</f>
        <v>0</v>
      </c>
      <c r="V133" s="18">
        <f>--(Table1[[#This Row],[Density P/F]]="FAIL")</f>
        <v>0</v>
      </c>
    </row>
    <row r="134" spans="1:22" x14ac:dyDescent="0.35">
      <c r="A134" s="4">
        <v>133</v>
      </c>
      <c r="B134" s="1" t="s">
        <v>300</v>
      </c>
      <c r="C134" s="1" t="s">
        <v>301</v>
      </c>
      <c r="D134" s="1" t="s">
        <v>46</v>
      </c>
      <c r="E134" s="1" t="s">
        <v>277</v>
      </c>
      <c r="F134" s="1" t="s">
        <v>21</v>
      </c>
      <c r="G134" s="1">
        <v>10.94</v>
      </c>
      <c r="H134" s="1">
        <v>23.66</v>
      </c>
      <c r="I134" s="1">
        <v>69.81</v>
      </c>
      <c r="J134" s="1">
        <v>3.4</v>
      </c>
      <c r="K134" s="1">
        <v>0.5786</v>
      </c>
      <c r="L134" s="2" t="s">
        <v>22</v>
      </c>
      <c r="M134" s="2" t="s">
        <v>22</v>
      </c>
      <c r="N134" s="2" t="s">
        <v>22</v>
      </c>
      <c r="O134" s="2" t="s">
        <v>22</v>
      </c>
      <c r="P134" s="2" t="s">
        <v>22</v>
      </c>
      <c r="Q134" s="6" t="s">
        <v>22</v>
      </c>
      <c r="R134" s="2">
        <f>--(Table1[[#This Row],[Propane P/F]]="FAIL")</f>
        <v>0</v>
      </c>
      <c r="S134" s="2">
        <f>--(Table1[[#This Row],[Isobutane P/F]]="FAIL")</f>
        <v>0</v>
      </c>
      <c r="T134" s="18">
        <f>--(Table1[[#This Row],[n-Butane P/F]]="FAIL")</f>
        <v>0</v>
      </c>
      <c r="U134" s="18">
        <f>--(Table1[[#This Row],[VP P/F]]="FAIL")</f>
        <v>0</v>
      </c>
      <c r="V134" s="18">
        <f>--(Table1[[#This Row],[Density P/F]]="FAIL")</f>
        <v>0</v>
      </c>
    </row>
    <row r="135" spans="1:22" x14ac:dyDescent="0.35">
      <c r="A135" s="4">
        <v>134</v>
      </c>
      <c r="B135" s="1" t="s">
        <v>302</v>
      </c>
      <c r="C135" s="1" t="s">
        <v>303</v>
      </c>
      <c r="D135" s="1" t="s">
        <v>46</v>
      </c>
      <c r="E135" s="1" t="s">
        <v>277</v>
      </c>
      <c r="F135" s="1" t="s">
        <v>21</v>
      </c>
      <c r="G135" s="1">
        <v>10.01</v>
      </c>
      <c r="H135" s="1">
        <v>24.14</v>
      </c>
      <c r="I135" s="1">
        <v>64.540000000000006</v>
      </c>
      <c r="J135" s="1">
        <v>3.43</v>
      </c>
      <c r="K135" s="1">
        <v>0.55840000000000001</v>
      </c>
      <c r="L135" s="2" t="s">
        <v>22</v>
      </c>
      <c r="M135" s="2" t="s">
        <v>22</v>
      </c>
      <c r="N135" s="2" t="s">
        <v>22</v>
      </c>
      <c r="O135" s="2" t="s">
        <v>22</v>
      </c>
      <c r="P135" s="3" t="s">
        <v>23</v>
      </c>
      <c r="Q135" s="5" t="s">
        <v>23</v>
      </c>
      <c r="R135" s="2">
        <f>--(Table1[[#This Row],[Propane P/F]]="FAIL")</f>
        <v>0</v>
      </c>
      <c r="S135" s="2">
        <f>--(Table1[[#This Row],[Isobutane P/F]]="FAIL")</f>
        <v>0</v>
      </c>
      <c r="T135" s="18">
        <f>--(Table1[[#This Row],[n-Butane P/F]]="FAIL")</f>
        <v>0</v>
      </c>
      <c r="U135" s="18">
        <f>--(Table1[[#This Row],[VP P/F]]="FAIL")</f>
        <v>0</v>
      </c>
      <c r="V135" s="18">
        <f>--(Table1[[#This Row],[Density P/F]]="FAIL")</f>
        <v>1</v>
      </c>
    </row>
    <row r="136" spans="1:22" hidden="1" x14ac:dyDescent="0.35">
      <c r="A136" s="4">
        <v>135</v>
      </c>
      <c r="B136" s="1" t="s">
        <v>304</v>
      </c>
      <c r="C136" s="1" t="s">
        <v>305</v>
      </c>
      <c r="D136" s="1" t="s">
        <v>46</v>
      </c>
      <c r="E136" s="1" t="s">
        <v>277</v>
      </c>
      <c r="F136" s="1" t="s">
        <v>32</v>
      </c>
      <c r="G136" s="1">
        <v>0.39</v>
      </c>
      <c r="H136" s="1">
        <v>37.39</v>
      </c>
      <c r="I136" s="1">
        <v>54.47</v>
      </c>
      <c r="J136" s="1">
        <v>3.12</v>
      </c>
      <c r="K136" s="1">
        <v>0.57840000000000003</v>
      </c>
      <c r="L136" s="2" t="s">
        <v>22</v>
      </c>
      <c r="M136" s="2" t="s">
        <v>22</v>
      </c>
      <c r="N136" s="2" t="s">
        <v>22</v>
      </c>
      <c r="O136" s="2" t="s">
        <v>22</v>
      </c>
      <c r="P136" s="2" t="s">
        <v>22</v>
      </c>
      <c r="Q136" s="6" t="s">
        <v>22</v>
      </c>
      <c r="R136" s="2">
        <f>--(Table1[[#This Row],[Propane P/F]]="FAIL")</f>
        <v>0</v>
      </c>
      <c r="S136" s="2">
        <f>--(Table1[[#This Row],[Isobutane P/F]]="FAIL")</f>
        <v>0</v>
      </c>
      <c r="T136" s="18">
        <f>--(Table1[[#This Row],[n-Butane P/F]]="FAIL")</f>
        <v>0</v>
      </c>
      <c r="U136" s="18">
        <f>--(Table1[[#This Row],[VP P/F]]="FAIL")</f>
        <v>0</v>
      </c>
      <c r="V136" s="18">
        <f>--(Table1[[#This Row],[Density P/F]]="FAIL")</f>
        <v>0</v>
      </c>
    </row>
    <row r="137" spans="1:22" x14ac:dyDescent="0.35">
      <c r="A137" s="4">
        <v>136</v>
      </c>
      <c r="B137" s="1" t="s">
        <v>306</v>
      </c>
      <c r="C137" s="1" t="s">
        <v>307</v>
      </c>
      <c r="D137" s="1" t="s">
        <v>57</v>
      </c>
      <c r="E137" s="1" t="s">
        <v>277</v>
      </c>
      <c r="F137" s="1" t="s">
        <v>21</v>
      </c>
      <c r="G137" s="1">
        <v>12.42</v>
      </c>
      <c r="H137" s="1">
        <v>24.99</v>
      </c>
      <c r="I137" s="1">
        <v>63.53</v>
      </c>
      <c r="J137" s="1">
        <v>4.16</v>
      </c>
      <c r="K137" s="1">
        <v>0.57979999999999998</v>
      </c>
      <c r="L137" s="2" t="s">
        <v>22</v>
      </c>
      <c r="M137" s="2" t="s">
        <v>22</v>
      </c>
      <c r="N137" s="2" t="s">
        <v>22</v>
      </c>
      <c r="O137" s="2" t="s">
        <v>22</v>
      </c>
      <c r="P137" s="2" t="s">
        <v>22</v>
      </c>
      <c r="Q137" s="6" t="s">
        <v>22</v>
      </c>
      <c r="R137" s="2">
        <f>--(Table1[[#This Row],[Propane P/F]]="FAIL")</f>
        <v>0</v>
      </c>
      <c r="S137" s="2">
        <f>--(Table1[[#This Row],[Isobutane P/F]]="FAIL")</f>
        <v>0</v>
      </c>
      <c r="T137" s="18">
        <f>--(Table1[[#This Row],[n-Butane P/F]]="FAIL")</f>
        <v>0</v>
      </c>
      <c r="U137" s="18">
        <f>--(Table1[[#This Row],[VP P/F]]="FAIL")</f>
        <v>0</v>
      </c>
      <c r="V137" s="18">
        <f>--(Table1[[#This Row],[Density P/F]]="FAIL")</f>
        <v>0</v>
      </c>
    </row>
    <row r="138" spans="1:22" x14ac:dyDescent="0.35">
      <c r="A138" s="4">
        <v>137</v>
      </c>
      <c r="B138" s="1" t="s">
        <v>308</v>
      </c>
      <c r="C138" s="1" t="s">
        <v>309</v>
      </c>
      <c r="D138" s="1" t="s">
        <v>57</v>
      </c>
      <c r="E138" s="1" t="s">
        <v>277</v>
      </c>
      <c r="F138" s="1" t="s">
        <v>21</v>
      </c>
      <c r="G138" s="1">
        <v>14.72</v>
      </c>
      <c r="H138" s="1">
        <v>21.56</v>
      </c>
      <c r="I138" s="1">
        <v>71.97</v>
      </c>
      <c r="J138" s="1">
        <v>4.29</v>
      </c>
      <c r="K138" s="1">
        <v>0.56820000000000004</v>
      </c>
      <c r="L138" s="2" t="s">
        <v>22</v>
      </c>
      <c r="M138" s="2" t="s">
        <v>22</v>
      </c>
      <c r="N138" s="2" t="s">
        <v>22</v>
      </c>
      <c r="O138" s="2" t="s">
        <v>22</v>
      </c>
      <c r="P138" s="2" t="s">
        <v>22</v>
      </c>
      <c r="Q138" s="6" t="s">
        <v>22</v>
      </c>
      <c r="R138" s="2">
        <f>--(Table1[[#This Row],[Propane P/F]]="FAIL")</f>
        <v>0</v>
      </c>
      <c r="S138" s="2">
        <f>--(Table1[[#This Row],[Isobutane P/F]]="FAIL")</f>
        <v>0</v>
      </c>
      <c r="T138" s="18">
        <f>--(Table1[[#This Row],[n-Butane P/F]]="FAIL")</f>
        <v>0</v>
      </c>
      <c r="U138" s="18">
        <f>--(Table1[[#This Row],[VP P/F]]="FAIL")</f>
        <v>0</v>
      </c>
      <c r="V138" s="18">
        <f>--(Table1[[#This Row],[Density P/F]]="FAIL")</f>
        <v>0</v>
      </c>
    </row>
    <row r="139" spans="1:22" x14ac:dyDescent="0.35">
      <c r="A139" s="4">
        <v>138</v>
      </c>
      <c r="B139" s="1" t="s">
        <v>310</v>
      </c>
      <c r="C139" s="1" t="s">
        <v>311</v>
      </c>
      <c r="D139" s="1" t="s">
        <v>57</v>
      </c>
      <c r="E139" s="1" t="s">
        <v>277</v>
      </c>
      <c r="F139" s="1" t="s">
        <v>21</v>
      </c>
      <c r="G139" s="1">
        <v>12.32</v>
      </c>
      <c r="H139" s="1">
        <v>37.19</v>
      </c>
      <c r="I139" s="1">
        <v>57.09</v>
      </c>
      <c r="J139" s="1">
        <v>3.56</v>
      </c>
      <c r="K139" s="1">
        <v>0.56100000000000005</v>
      </c>
      <c r="L139" s="2" t="s">
        <v>22</v>
      </c>
      <c r="M139" s="2" t="s">
        <v>22</v>
      </c>
      <c r="N139" s="2" t="s">
        <v>22</v>
      </c>
      <c r="O139" s="2" t="s">
        <v>22</v>
      </c>
      <c r="P139" s="2" t="s">
        <v>22</v>
      </c>
      <c r="Q139" s="6" t="s">
        <v>22</v>
      </c>
      <c r="R139" s="2">
        <f>--(Table1[[#This Row],[Propane P/F]]="FAIL")</f>
        <v>0</v>
      </c>
      <c r="S139" s="2">
        <f>--(Table1[[#This Row],[Isobutane P/F]]="FAIL")</f>
        <v>0</v>
      </c>
      <c r="T139" s="18">
        <f>--(Table1[[#This Row],[n-Butane P/F]]="FAIL")</f>
        <v>0</v>
      </c>
      <c r="U139" s="18">
        <f>--(Table1[[#This Row],[VP P/F]]="FAIL")</f>
        <v>0</v>
      </c>
      <c r="V139" s="18">
        <f>--(Table1[[#This Row],[Density P/F]]="FAIL")</f>
        <v>0</v>
      </c>
    </row>
    <row r="140" spans="1:22" x14ac:dyDescent="0.35">
      <c r="A140" s="4">
        <v>139</v>
      </c>
      <c r="B140" s="1" t="s">
        <v>312</v>
      </c>
      <c r="C140" s="1" t="s">
        <v>313</v>
      </c>
      <c r="D140" s="1" t="s">
        <v>57</v>
      </c>
      <c r="E140" s="1" t="s">
        <v>277</v>
      </c>
      <c r="F140" s="1" t="s">
        <v>21</v>
      </c>
      <c r="G140" s="1">
        <v>15.55</v>
      </c>
      <c r="H140" s="1">
        <v>27.86</v>
      </c>
      <c r="I140" s="1">
        <v>63.14</v>
      </c>
      <c r="J140" s="1">
        <v>3.71</v>
      </c>
      <c r="K140" s="1">
        <v>0.57010000000000005</v>
      </c>
      <c r="L140" s="2" t="s">
        <v>22</v>
      </c>
      <c r="M140" s="2" t="s">
        <v>22</v>
      </c>
      <c r="N140" s="2" t="s">
        <v>22</v>
      </c>
      <c r="O140" s="2" t="s">
        <v>22</v>
      </c>
      <c r="P140" s="2" t="s">
        <v>22</v>
      </c>
      <c r="Q140" s="6" t="s">
        <v>22</v>
      </c>
      <c r="R140" s="2">
        <f>--(Table1[[#This Row],[Propane P/F]]="FAIL")</f>
        <v>0</v>
      </c>
      <c r="S140" s="2">
        <f>--(Table1[[#This Row],[Isobutane P/F]]="FAIL")</f>
        <v>0</v>
      </c>
      <c r="T140" s="18">
        <f>--(Table1[[#This Row],[n-Butane P/F]]="FAIL")</f>
        <v>0</v>
      </c>
      <c r="U140" s="18">
        <f>--(Table1[[#This Row],[VP P/F]]="FAIL")</f>
        <v>0</v>
      </c>
      <c r="V140" s="18">
        <f>--(Table1[[#This Row],[Density P/F]]="FAIL")</f>
        <v>0</v>
      </c>
    </row>
    <row r="141" spans="1:22" hidden="1" x14ac:dyDescent="0.35">
      <c r="A141" s="4">
        <v>140</v>
      </c>
      <c r="B141" s="1" t="s">
        <v>314</v>
      </c>
      <c r="C141" s="1" t="s">
        <v>315</v>
      </c>
      <c r="D141" s="1" t="s">
        <v>57</v>
      </c>
      <c r="E141" s="1" t="s">
        <v>277</v>
      </c>
      <c r="F141" s="1" t="s">
        <v>32</v>
      </c>
      <c r="G141" s="1">
        <v>0.27</v>
      </c>
      <c r="H141" s="1">
        <v>41.24</v>
      </c>
      <c r="I141" s="1">
        <v>61.9</v>
      </c>
      <c r="J141" s="1">
        <v>3.08</v>
      </c>
      <c r="K141" s="1">
        <v>0.58379999999999999</v>
      </c>
      <c r="L141" s="2" t="s">
        <v>22</v>
      </c>
      <c r="M141" s="2" t="s">
        <v>22</v>
      </c>
      <c r="N141" s="2" t="s">
        <v>22</v>
      </c>
      <c r="O141" s="2" t="s">
        <v>22</v>
      </c>
      <c r="P141" s="2" t="s">
        <v>22</v>
      </c>
      <c r="Q141" s="6" t="s">
        <v>22</v>
      </c>
      <c r="R141" s="2">
        <f>--(Table1[[#This Row],[Propane P/F]]="FAIL")</f>
        <v>0</v>
      </c>
      <c r="S141" s="2">
        <f>--(Table1[[#This Row],[Isobutane P/F]]="FAIL")</f>
        <v>0</v>
      </c>
      <c r="T141" s="18">
        <f>--(Table1[[#This Row],[n-Butane P/F]]="FAIL")</f>
        <v>0</v>
      </c>
      <c r="U141" s="18">
        <f>--(Table1[[#This Row],[VP P/F]]="FAIL")</f>
        <v>0</v>
      </c>
      <c r="V141" s="18">
        <f>--(Table1[[#This Row],[Density P/F]]="FAIL")</f>
        <v>0</v>
      </c>
    </row>
    <row r="142" spans="1:22" x14ac:dyDescent="0.35">
      <c r="A142" s="4">
        <v>141</v>
      </c>
      <c r="B142" s="1" t="s">
        <v>316</v>
      </c>
      <c r="C142" s="1" t="s">
        <v>317</v>
      </c>
      <c r="D142" s="1" t="s">
        <v>68</v>
      </c>
      <c r="E142" s="1" t="s">
        <v>277</v>
      </c>
      <c r="F142" s="1" t="s">
        <v>21</v>
      </c>
      <c r="G142" s="1">
        <v>11.99</v>
      </c>
      <c r="H142" s="1">
        <v>22.71</v>
      </c>
      <c r="I142" s="1">
        <v>59.39</v>
      </c>
      <c r="J142" s="1">
        <v>4.0999999999999996</v>
      </c>
      <c r="K142" s="1">
        <v>0.56699999999999995</v>
      </c>
      <c r="L142" s="2" t="s">
        <v>22</v>
      </c>
      <c r="M142" s="2" t="s">
        <v>22</v>
      </c>
      <c r="N142" s="2" t="s">
        <v>22</v>
      </c>
      <c r="O142" s="2" t="s">
        <v>22</v>
      </c>
      <c r="P142" s="2" t="s">
        <v>22</v>
      </c>
      <c r="Q142" s="6" t="s">
        <v>22</v>
      </c>
      <c r="R142" s="2">
        <f>--(Table1[[#This Row],[Propane P/F]]="FAIL")</f>
        <v>0</v>
      </c>
      <c r="S142" s="2">
        <f>--(Table1[[#This Row],[Isobutane P/F]]="FAIL")</f>
        <v>0</v>
      </c>
      <c r="T142" s="18">
        <f>--(Table1[[#This Row],[n-Butane P/F]]="FAIL")</f>
        <v>0</v>
      </c>
      <c r="U142" s="18">
        <f>--(Table1[[#This Row],[VP P/F]]="FAIL")</f>
        <v>0</v>
      </c>
      <c r="V142" s="18">
        <f>--(Table1[[#This Row],[Density P/F]]="FAIL")</f>
        <v>0</v>
      </c>
    </row>
    <row r="143" spans="1:22" x14ac:dyDescent="0.35">
      <c r="A143" s="4">
        <v>142</v>
      </c>
      <c r="B143" s="1" t="s">
        <v>318</v>
      </c>
      <c r="C143" s="1" t="s">
        <v>319</v>
      </c>
      <c r="D143" s="1" t="s">
        <v>68</v>
      </c>
      <c r="E143" s="1" t="s">
        <v>277</v>
      </c>
      <c r="F143" s="1" t="s">
        <v>21</v>
      </c>
      <c r="G143" s="1">
        <v>7.81</v>
      </c>
      <c r="H143" s="1">
        <v>35.97</v>
      </c>
      <c r="I143" s="1">
        <v>52.05</v>
      </c>
      <c r="J143" s="1">
        <v>3.5</v>
      </c>
      <c r="K143" s="1">
        <v>0.57569999999999999</v>
      </c>
      <c r="L143" s="2" t="s">
        <v>22</v>
      </c>
      <c r="M143" s="2" t="s">
        <v>22</v>
      </c>
      <c r="N143" s="2" t="s">
        <v>22</v>
      </c>
      <c r="O143" s="2" t="s">
        <v>22</v>
      </c>
      <c r="P143" s="2" t="s">
        <v>22</v>
      </c>
      <c r="Q143" s="6" t="s">
        <v>22</v>
      </c>
      <c r="R143" s="2">
        <f>--(Table1[[#This Row],[Propane P/F]]="FAIL")</f>
        <v>0</v>
      </c>
      <c r="S143" s="2">
        <f>--(Table1[[#This Row],[Isobutane P/F]]="FAIL")</f>
        <v>0</v>
      </c>
      <c r="T143" s="18">
        <f>--(Table1[[#This Row],[n-Butane P/F]]="FAIL")</f>
        <v>0</v>
      </c>
      <c r="U143" s="18">
        <f>--(Table1[[#This Row],[VP P/F]]="FAIL")</f>
        <v>0</v>
      </c>
      <c r="V143" s="18">
        <f>--(Table1[[#This Row],[Density P/F]]="FAIL")</f>
        <v>0</v>
      </c>
    </row>
    <row r="144" spans="1:22" x14ac:dyDescent="0.35">
      <c r="A144" s="4">
        <v>143</v>
      </c>
      <c r="B144" s="1" t="s">
        <v>320</v>
      </c>
      <c r="C144" s="1" t="s">
        <v>321</v>
      </c>
      <c r="D144" s="1" t="s">
        <v>68</v>
      </c>
      <c r="E144" s="1" t="s">
        <v>277</v>
      </c>
      <c r="F144" s="1" t="s">
        <v>21</v>
      </c>
      <c r="G144" s="1">
        <v>14.04</v>
      </c>
      <c r="H144" s="1">
        <v>31.11</v>
      </c>
      <c r="I144" s="1">
        <v>57.25</v>
      </c>
      <c r="J144" s="1">
        <v>3.53</v>
      </c>
      <c r="K144" s="1">
        <v>0.5665</v>
      </c>
      <c r="L144" s="2" t="s">
        <v>22</v>
      </c>
      <c r="M144" s="2" t="s">
        <v>22</v>
      </c>
      <c r="N144" s="2" t="s">
        <v>22</v>
      </c>
      <c r="O144" s="2" t="s">
        <v>22</v>
      </c>
      <c r="P144" s="2" t="s">
        <v>22</v>
      </c>
      <c r="Q144" s="6" t="s">
        <v>22</v>
      </c>
      <c r="R144" s="2">
        <f>--(Table1[[#This Row],[Propane P/F]]="FAIL")</f>
        <v>0</v>
      </c>
      <c r="S144" s="2">
        <f>--(Table1[[#This Row],[Isobutane P/F]]="FAIL")</f>
        <v>0</v>
      </c>
      <c r="T144" s="18">
        <f>--(Table1[[#This Row],[n-Butane P/F]]="FAIL")</f>
        <v>0</v>
      </c>
      <c r="U144" s="18">
        <f>--(Table1[[#This Row],[VP P/F]]="FAIL")</f>
        <v>0</v>
      </c>
      <c r="V144" s="18">
        <f>--(Table1[[#This Row],[Density P/F]]="FAIL")</f>
        <v>0</v>
      </c>
    </row>
    <row r="145" spans="1:22" x14ac:dyDescent="0.35">
      <c r="A145" s="4">
        <v>144</v>
      </c>
      <c r="B145" s="1" t="s">
        <v>322</v>
      </c>
      <c r="C145" s="1" t="s">
        <v>323</v>
      </c>
      <c r="D145" s="1" t="s">
        <v>68</v>
      </c>
      <c r="E145" s="1" t="s">
        <v>277</v>
      </c>
      <c r="F145" s="1" t="s">
        <v>21</v>
      </c>
      <c r="G145" s="1">
        <v>17.420000000000002</v>
      </c>
      <c r="H145" s="1">
        <v>33.979999999999997</v>
      </c>
      <c r="I145" s="1">
        <v>71.3</v>
      </c>
      <c r="J145" s="1">
        <v>4.03</v>
      </c>
      <c r="K145" s="1">
        <v>0.56640000000000001</v>
      </c>
      <c r="L145" s="2" t="s">
        <v>22</v>
      </c>
      <c r="M145" s="2" t="s">
        <v>22</v>
      </c>
      <c r="N145" s="2" t="s">
        <v>22</v>
      </c>
      <c r="O145" s="2" t="s">
        <v>22</v>
      </c>
      <c r="P145" s="2" t="s">
        <v>22</v>
      </c>
      <c r="Q145" s="6" t="s">
        <v>22</v>
      </c>
      <c r="R145" s="2">
        <f>--(Table1[[#This Row],[Propane P/F]]="FAIL")</f>
        <v>0</v>
      </c>
      <c r="S145" s="2">
        <f>--(Table1[[#This Row],[Isobutane P/F]]="FAIL")</f>
        <v>0</v>
      </c>
      <c r="T145" s="18">
        <f>--(Table1[[#This Row],[n-Butane P/F]]="FAIL")</f>
        <v>0</v>
      </c>
      <c r="U145" s="18">
        <f>--(Table1[[#This Row],[VP P/F]]="FAIL")</f>
        <v>0</v>
      </c>
      <c r="V145" s="18">
        <f>--(Table1[[#This Row],[Density P/F]]="FAIL")</f>
        <v>0</v>
      </c>
    </row>
    <row r="146" spans="1:22" hidden="1" x14ac:dyDescent="0.35">
      <c r="A146" s="4">
        <v>145</v>
      </c>
      <c r="B146" s="1" t="s">
        <v>324</v>
      </c>
      <c r="C146" s="1" t="s">
        <v>325</v>
      </c>
      <c r="D146" s="1" t="s">
        <v>68</v>
      </c>
      <c r="E146" s="1" t="s">
        <v>277</v>
      </c>
      <c r="F146" s="1" t="s">
        <v>32</v>
      </c>
      <c r="G146" s="1">
        <v>0.59</v>
      </c>
      <c r="H146" s="1">
        <v>37.79</v>
      </c>
      <c r="I146" s="1">
        <v>54.97</v>
      </c>
      <c r="J146" s="1">
        <v>3.14</v>
      </c>
      <c r="K146" s="1">
        <v>0.57589999999999997</v>
      </c>
      <c r="L146" s="2" t="s">
        <v>22</v>
      </c>
      <c r="M146" s="2" t="s">
        <v>22</v>
      </c>
      <c r="N146" s="2" t="s">
        <v>22</v>
      </c>
      <c r="O146" s="2" t="s">
        <v>22</v>
      </c>
      <c r="P146" s="2" t="s">
        <v>22</v>
      </c>
      <c r="Q146" s="6" t="s">
        <v>22</v>
      </c>
      <c r="R146" s="2">
        <f>--(Table1[[#This Row],[Propane P/F]]="FAIL")</f>
        <v>0</v>
      </c>
      <c r="S146" s="2">
        <f>--(Table1[[#This Row],[Isobutane P/F]]="FAIL")</f>
        <v>0</v>
      </c>
      <c r="T146" s="18">
        <f>--(Table1[[#This Row],[n-Butane P/F]]="FAIL")</f>
        <v>0</v>
      </c>
      <c r="U146" s="18">
        <f>--(Table1[[#This Row],[VP P/F]]="FAIL")</f>
        <v>0</v>
      </c>
      <c r="V146" s="18">
        <f>--(Table1[[#This Row],[Density P/F]]="FAIL")</f>
        <v>0</v>
      </c>
    </row>
    <row r="147" spans="1:22" x14ac:dyDescent="0.35">
      <c r="A147" s="4">
        <v>146</v>
      </c>
      <c r="B147" s="1" t="s">
        <v>326</v>
      </c>
      <c r="C147" s="1" t="s">
        <v>327</v>
      </c>
      <c r="D147" s="1" t="s">
        <v>79</v>
      </c>
      <c r="E147" s="1" t="s">
        <v>277</v>
      </c>
      <c r="F147" s="1" t="s">
        <v>21</v>
      </c>
      <c r="G147" s="1">
        <v>16.82</v>
      </c>
      <c r="H147" s="1">
        <v>32.04</v>
      </c>
      <c r="I147" s="1">
        <v>64.14</v>
      </c>
      <c r="J147" s="1">
        <v>3.43</v>
      </c>
      <c r="K147" s="1">
        <v>0.58030000000000004</v>
      </c>
      <c r="L147" s="2" t="s">
        <v>22</v>
      </c>
      <c r="M147" s="2" t="s">
        <v>22</v>
      </c>
      <c r="N147" s="2" t="s">
        <v>22</v>
      </c>
      <c r="O147" s="2" t="s">
        <v>22</v>
      </c>
      <c r="P147" s="3" t="s">
        <v>23</v>
      </c>
      <c r="Q147" s="5" t="s">
        <v>23</v>
      </c>
      <c r="R147" s="2">
        <f>--(Table1[[#This Row],[Propane P/F]]="FAIL")</f>
        <v>0</v>
      </c>
      <c r="S147" s="2">
        <f>--(Table1[[#This Row],[Isobutane P/F]]="FAIL")</f>
        <v>0</v>
      </c>
      <c r="T147" s="18">
        <f>--(Table1[[#This Row],[n-Butane P/F]]="FAIL")</f>
        <v>0</v>
      </c>
      <c r="U147" s="18">
        <f>--(Table1[[#This Row],[VP P/F]]="FAIL")</f>
        <v>0</v>
      </c>
      <c r="V147" s="18">
        <f>--(Table1[[#This Row],[Density P/F]]="FAIL")</f>
        <v>1</v>
      </c>
    </row>
    <row r="148" spans="1:22" x14ac:dyDescent="0.35">
      <c r="A148" s="4">
        <v>147</v>
      </c>
      <c r="B148" s="1" t="s">
        <v>328</v>
      </c>
      <c r="C148" s="1" t="s">
        <v>329</v>
      </c>
      <c r="D148" s="1" t="s">
        <v>79</v>
      </c>
      <c r="E148" s="1" t="s">
        <v>277</v>
      </c>
      <c r="F148" s="1" t="s">
        <v>21</v>
      </c>
      <c r="G148" s="1">
        <v>9.16</v>
      </c>
      <c r="H148" s="1">
        <v>33.65</v>
      </c>
      <c r="I148" s="1">
        <v>56.8</v>
      </c>
      <c r="J148" s="1">
        <v>3.76</v>
      </c>
      <c r="K148" s="1">
        <v>0.55810000000000004</v>
      </c>
      <c r="L148" s="2" t="s">
        <v>22</v>
      </c>
      <c r="M148" s="2" t="s">
        <v>22</v>
      </c>
      <c r="N148" s="2" t="s">
        <v>22</v>
      </c>
      <c r="O148" s="2" t="s">
        <v>22</v>
      </c>
      <c r="P148" s="3" t="s">
        <v>23</v>
      </c>
      <c r="Q148" s="5" t="s">
        <v>23</v>
      </c>
      <c r="R148" s="2">
        <f>--(Table1[[#This Row],[Propane P/F]]="FAIL")</f>
        <v>0</v>
      </c>
      <c r="S148" s="2">
        <f>--(Table1[[#This Row],[Isobutane P/F]]="FAIL")</f>
        <v>0</v>
      </c>
      <c r="T148" s="18">
        <f>--(Table1[[#This Row],[n-Butane P/F]]="FAIL")</f>
        <v>0</v>
      </c>
      <c r="U148" s="18">
        <f>--(Table1[[#This Row],[VP P/F]]="FAIL")</f>
        <v>0</v>
      </c>
      <c r="V148" s="18">
        <f>--(Table1[[#This Row],[Density P/F]]="FAIL")</f>
        <v>1</v>
      </c>
    </row>
    <row r="149" spans="1:22" x14ac:dyDescent="0.35">
      <c r="A149" s="4">
        <v>148</v>
      </c>
      <c r="B149" s="1" t="s">
        <v>330</v>
      </c>
      <c r="C149" s="1" t="s">
        <v>331</v>
      </c>
      <c r="D149" s="1" t="s">
        <v>79</v>
      </c>
      <c r="E149" s="1" t="s">
        <v>277</v>
      </c>
      <c r="F149" s="1" t="s">
        <v>21</v>
      </c>
      <c r="G149" s="1">
        <v>11.81</v>
      </c>
      <c r="H149" s="1">
        <v>23.55</v>
      </c>
      <c r="I149" s="1">
        <v>63.93</v>
      </c>
      <c r="J149" s="1">
        <v>3.43</v>
      </c>
      <c r="K149" s="1">
        <v>0.57589999999999997</v>
      </c>
      <c r="L149" s="2" t="s">
        <v>22</v>
      </c>
      <c r="M149" s="2" t="s">
        <v>22</v>
      </c>
      <c r="N149" s="2" t="s">
        <v>22</v>
      </c>
      <c r="O149" s="2" t="s">
        <v>22</v>
      </c>
      <c r="P149" s="2" t="s">
        <v>22</v>
      </c>
      <c r="Q149" s="6" t="s">
        <v>22</v>
      </c>
      <c r="R149" s="2">
        <f>--(Table1[[#This Row],[Propane P/F]]="FAIL")</f>
        <v>0</v>
      </c>
      <c r="S149" s="2">
        <f>--(Table1[[#This Row],[Isobutane P/F]]="FAIL")</f>
        <v>0</v>
      </c>
      <c r="T149" s="18">
        <f>--(Table1[[#This Row],[n-Butane P/F]]="FAIL")</f>
        <v>0</v>
      </c>
      <c r="U149" s="18">
        <f>--(Table1[[#This Row],[VP P/F]]="FAIL")</f>
        <v>0</v>
      </c>
      <c r="V149" s="18">
        <f>--(Table1[[#This Row],[Density P/F]]="FAIL")</f>
        <v>0</v>
      </c>
    </row>
    <row r="150" spans="1:22" x14ac:dyDescent="0.35">
      <c r="A150" s="4">
        <v>149</v>
      </c>
      <c r="B150" s="1" t="s">
        <v>332</v>
      </c>
      <c r="C150" s="1" t="s">
        <v>333</v>
      </c>
      <c r="D150" s="1" t="s">
        <v>79</v>
      </c>
      <c r="E150" s="1" t="s">
        <v>277</v>
      </c>
      <c r="F150" s="1" t="s">
        <v>21</v>
      </c>
      <c r="G150" s="1">
        <v>11.09</v>
      </c>
      <c r="H150" s="1">
        <v>27.66</v>
      </c>
      <c r="I150" s="1">
        <v>65.88</v>
      </c>
      <c r="J150" s="1">
        <v>4.22</v>
      </c>
      <c r="K150" s="1">
        <v>0.5716</v>
      </c>
      <c r="L150" s="2" t="s">
        <v>22</v>
      </c>
      <c r="M150" s="2" t="s">
        <v>22</v>
      </c>
      <c r="N150" s="2" t="s">
        <v>22</v>
      </c>
      <c r="O150" s="2" t="s">
        <v>22</v>
      </c>
      <c r="P150" s="2" t="s">
        <v>22</v>
      </c>
      <c r="Q150" s="6" t="s">
        <v>22</v>
      </c>
      <c r="R150" s="2">
        <f>--(Table1[[#This Row],[Propane P/F]]="FAIL")</f>
        <v>0</v>
      </c>
      <c r="S150" s="2">
        <f>--(Table1[[#This Row],[Isobutane P/F]]="FAIL")</f>
        <v>0</v>
      </c>
      <c r="T150" s="18">
        <f>--(Table1[[#This Row],[n-Butane P/F]]="FAIL")</f>
        <v>0</v>
      </c>
      <c r="U150" s="18">
        <f>--(Table1[[#This Row],[VP P/F]]="FAIL")</f>
        <v>0</v>
      </c>
      <c r="V150" s="18">
        <f>--(Table1[[#This Row],[Density P/F]]="FAIL")</f>
        <v>0</v>
      </c>
    </row>
    <row r="151" spans="1:22" hidden="1" x14ac:dyDescent="0.35">
      <c r="A151" s="10">
        <v>150</v>
      </c>
      <c r="B151" s="11" t="s">
        <v>334</v>
      </c>
      <c r="C151" s="11" t="s">
        <v>335</v>
      </c>
      <c r="D151" s="11" t="s">
        <v>79</v>
      </c>
      <c r="E151" s="11" t="s">
        <v>277</v>
      </c>
      <c r="F151" s="11" t="s">
        <v>32</v>
      </c>
      <c r="G151" s="11">
        <v>0.28999999999999998</v>
      </c>
      <c r="H151" s="11">
        <v>40.94</v>
      </c>
      <c r="I151" s="11">
        <v>60.07</v>
      </c>
      <c r="J151" s="11">
        <v>3.01</v>
      </c>
      <c r="K151" s="11">
        <v>0.5806</v>
      </c>
      <c r="L151" s="12" t="s">
        <v>22</v>
      </c>
      <c r="M151" s="12" t="s">
        <v>22</v>
      </c>
      <c r="N151" s="12" t="s">
        <v>22</v>
      </c>
      <c r="O151" s="12" t="s">
        <v>22</v>
      </c>
      <c r="P151" s="12" t="s">
        <v>22</v>
      </c>
      <c r="Q151" s="13" t="s">
        <v>22</v>
      </c>
      <c r="R151" s="12">
        <f>--(Table1[[#This Row],[Propane P/F]]="FAIL")</f>
        <v>0</v>
      </c>
      <c r="S151" s="12">
        <f>--(Table1[[#This Row],[Isobutane P/F]]="FAIL")</f>
        <v>0</v>
      </c>
      <c r="T151" s="18">
        <f>--(Table1[[#This Row],[n-Butane P/F]]="FAIL")</f>
        <v>0</v>
      </c>
      <c r="U151" s="18">
        <f>--(Table1[[#This Row],[VP P/F]]="FAIL")</f>
        <v>0</v>
      </c>
      <c r="V151" s="18">
        <f>--(Table1[[#This Row],[Density P/F]]="FAIL")</f>
        <v>0</v>
      </c>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FCEEE-6229-466D-A53A-2B6BC8257D9A}">
  <dimension ref="A2:M36"/>
  <sheetViews>
    <sheetView zoomScale="70" zoomScaleNormal="70" workbookViewId="0">
      <selection activeCell="J31" sqref="J31"/>
    </sheetView>
  </sheetViews>
  <sheetFormatPr defaultRowHeight="14.5" x14ac:dyDescent="0.35"/>
  <cols>
    <col min="1" max="1" width="19.26953125" bestFit="1" customWidth="1"/>
    <col min="2" max="2" width="20.81640625" bestFit="1" customWidth="1"/>
    <col min="3" max="3" width="19.54296875" bestFit="1" customWidth="1"/>
    <col min="4" max="4" width="27.36328125" bestFit="1" customWidth="1"/>
    <col min="5" max="5" width="18.1796875" bestFit="1" customWidth="1"/>
    <col min="6" max="6" width="13.08984375" bestFit="1" customWidth="1"/>
    <col min="7" max="7" width="20.6328125" bestFit="1" customWidth="1"/>
    <col min="8" max="8" width="17.08984375" bestFit="1" customWidth="1"/>
    <col min="9" max="9" width="15.90625" bestFit="1" customWidth="1"/>
    <col min="10" max="10" width="17.08984375" bestFit="1" customWidth="1"/>
    <col min="11" max="11" width="20.08984375" bestFit="1" customWidth="1"/>
    <col min="12" max="12" width="15.90625" bestFit="1" customWidth="1"/>
    <col min="13" max="13" width="10.7265625" bestFit="1" customWidth="1"/>
    <col min="14" max="14" width="17.08984375" bestFit="1" customWidth="1"/>
    <col min="15" max="15" width="15.90625" bestFit="1" customWidth="1"/>
    <col min="16" max="16" width="10.7265625" bestFit="1" customWidth="1"/>
    <col min="17" max="17" width="11" bestFit="1" customWidth="1"/>
  </cols>
  <sheetData>
    <row r="2" spans="1:13" x14ac:dyDescent="0.35">
      <c r="F2" s="14" t="s">
        <v>336</v>
      </c>
      <c r="G2" t="s">
        <v>340</v>
      </c>
      <c r="K2" s="14" t="s">
        <v>339</v>
      </c>
      <c r="L2" s="14" t="s">
        <v>338</v>
      </c>
    </row>
    <row r="3" spans="1:13" x14ac:dyDescent="0.35">
      <c r="A3" s="14" t="s">
        <v>339</v>
      </c>
      <c r="B3" s="14" t="s">
        <v>338</v>
      </c>
      <c r="F3" s="15" t="s">
        <v>20</v>
      </c>
      <c r="G3">
        <v>10.301833333333331</v>
      </c>
      <c r="K3" s="14" t="s">
        <v>336</v>
      </c>
      <c r="L3" t="s">
        <v>23</v>
      </c>
      <c r="M3" t="s">
        <v>337</v>
      </c>
    </row>
    <row r="4" spans="1:13" x14ac:dyDescent="0.35">
      <c r="A4" s="14" t="s">
        <v>336</v>
      </c>
      <c r="B4" t="s">
        <v>23</v>
      </c>
      <c r="C4" t="s">
        <v>22</v>
      </c>
      <c r="D4" t="s">
        <v>337</v>
      </c>
      <c r="F4" s="16" t="s">
        <v>19</v>
      </c>
      <c r="G4">
        <v>9.3000000000000007</v>
      </c>
      <c r="K4" s="15" t="s">
        <v>32</v>
      </c>
      <c r="L4" s="21">
        <v>10</v>
      </c>
      <c r="M4" s="21">
        <v>10</v>
      </c>
    </row>
    <row r="5" spans="1:13" x14ac:dyDescent="0.35">
      <c r="A5" s="15" t="s">
        <v>19</v>
      </c>
      <c r="B5">
        <v>6</v>
      </c>
      <c r="C5">
        <v>9</v>
      </c>
      <c r="D5">
        <v>15</v>
      </c>
      <c r="F5" s="16" t="s">
        <v>35</v>
      </c>
      <c r="G5">
        <v>9.1419999999999995</v>
      </c>
      <c r="H5" s="14" t="s">
        <v>351</v>
      </c>
      <c r="I5" s="14" t="s">
        <v>338</v>
      </c>
      <c r="K5" s="15" t="s">
        <v>21</v>
      </c>
      <c r="L5" s="21">
        <v>35</v>
      </c>
      <c r="M5" s="21">
        <v>35</v>
      </c>
    </row>
    <row r="6" spans="1:13" x14ac:dyDescent="0.35">
      <c r="A6" s="15" t="s">
        <v>35</v>
      </c>
      <c r="B6">
        <v>5</v>
      </c>
      <c r="C6">
        <v>10</v>
      </c>
      <c r="D6">
        <v>15</v>
      </c>
      <c r="F6" s="16" t="s">
        <v>46</v>
      </c>
      <c r="G6">
        <v>10.112</v>
      </c>
      <c r="H6" s="14" t="s">
        <v>336</v>
      </c>
      <c r="I6" t="s">
        <v>23</v>
      </c>
      <c r="J6" t="s">
        <v>337</v>
      </c>
      <c r="K6" s="15" t="s">
        <v>337</v>
      </c>
      <c r="L6" s="21">
        <v>45</v>
      </c>
      <c r="M6" s="21">
        <v>45</v>
      </c>
    </row>
    <row r="7" spans="1:13" x14ac:dyDescent="0.35">
      <c r="A7" s="15" t="s">
        <v>46</v>
      </c>
      <c r="B7">
        <v>5</v>
      </c>
      <c r="C7">
        <v>10</v>
      </c>
      <c r="D7">
        <v>15</v>
      </c>
      <c r="F7" s="16" t="s">
        <v>57</v>
      </c>
      <c r="G7">
        <v>10.326000000000001</v>
      </c>
      <c r="H7" s="15" t="s">
        <v>19</v>
      </c>
      <c r="I7" s="21">
        <v>6</v>
      </c>
      <c r="J7" s="21">
        <v>6</v>
      </c>
    </row>
    <row r="8" spans="1:13" x14ac:dyDescent="0.35">
      <c r="A8" s="15" t="s">
        <v>57</v>
      </c>
      <c r="B8">
        <v>4</v>
      </c>
      <c r="C8">
        <v>11</v>
      </c>
      <c r="D8">
        <v>15</v>
      </c>
      <c r="F8" s="16" t="s">
        <v>68</v>
      </c>
      <c r="G8">
        <v>8.8219999999999992</v>
      </c>
      <c r="H8" s="15" t="s">
        <v>35</v>
      </c>
      <c r="I8" s="21">
        <v>5</v>
      </c>
      <c r="J8" s="21">
        <v>5</v>
      </c>
    </row>
    <row r="9" spans="1:13" x14ac:dyDescent="0.35">
      <c r="A9" s="15" t="s">
        <v>68</v>
      </c>
      <c r="B9">
        <v>3</v>
      </c>
      <c r="C9">
        <v>12</v>
      </c>
      <c r="D9">
        <v>15</v>
      </c>
      <c r="F9" s="16" t="s">
        <v>79</v>
      </c>
      <c r="G9">
        <v>13.532</v>
      </c>
      <c r="H9" s="15" t="s">
        <v>46</v>
      </c>
      <c r="I9" s="21">
        <v>5</v>
      </c>
      <c r="J9" s="21">
        <v>5</v>
      </c>
    </row>
    <row r="10" spans="1:13" x14ac:dyDescent="0.35">
      <c r="A10" s="15" t="s">
        <v>79</v>
      </c>
      <c r="B10">
        <v>4</v>
      </c>
      <c r="C10">
        <v>11</v>
      </c>
      <c r="D10">
        <v>15</v>
      </c>
      <c r="F10" s="16" t="s">
        <v>90</v>
      </c>
      <c r="G10">
        <v>11.686</v>
      </c>
      <c r="H10" s="15" t="s">
        <v>57</v>
      </c>
      <c r="I10" s="21">
        <v>4</v>
      </c>
      <c r="J10" s="21">
        <v>4</v>
      </c>
    </row>
    <row r="11" spans="1:13" x14ac:dyDescent="0.35">
      <c r="A11" s="15" t="s">
        <v>90</v>
      </c>
      <c r="B11">
        <v>4</v>
      </c>
      <c r="C11">
        <v>6</v>
      </c>
      <c r="D11">
        <v>10</v>
      </c>
      <c r="F11" s="16" t="s">
        <v>101</v>
      </c>
      <c r="G11">
        <v>11.45</v>
      </c>
      <c r="H11" s="15" t="s">
        <v>68</v>
      </c>
      <c r="I11" s="21">
        <v>3</v>
      </c>
      <c r="J11" s="21">
        <v>3</v>
      </c>
    </row>
    <row r="12" spans="1:13" x14ac:dyDescent="0.35">
      <c r="A12" s="15" t="s">
        <v>101</v>
      </c>
      <c r="B12">
        <v>4</v>
      </c>
      <c r="C12">
        <v>6</v>
      </c>
      <c r="D12">
        <v>10</v>
      </c>
      <c r="F12" s="16" t="s">
        <v>112</v>
      </c>
      <c r="G12">
        <v>7.6679999999999993</v>
      </c>
      <c r="H12" s="15" t="s">
        <v>79</v>
      </c>
      <c r="I12" s="21">
        <v>4</v>
      </c>
      <c r="J12" s="21">
        <v>4</v>
      </c>
    </row>
    <row r="13" spans="1:13" x14ac:dyDescent="0.35">
      <c r="A13" s="15" t="s">
        <v>112</v>
      </c>
      <c r="B13">
        <v>2</v>
      </c>
      <c r="C13">
        <v>8</v>
      </c>
      <c r="D13">
        <v>10</v>
      </c>
      <c r="F13" s="16" t="s">
        <v>123</v>
      </c>
      <c r="G13">
        <v>11.63</v>
      </c>
      <c r="H13" s="15" t="s">
        <v>90</v>
      </c>
      <c r="I13" s="21">
        <v>4</v>
      </c>
      <c r="J13" s="21">
        <v>4</v>
      </c>
      <c r="K13" s="14" t="s">
        <v>339</v>
      </c>
      <c r="L13" s="14" t="s">
        <v>338</v>
      </c>
    </row>
    <row r="14" spans="1:13" x14ac:dyDescent="0.35">
      <c r="A14" s="15" t="s">
        <v>123</v>
      </c>
      <c r="B14">
        <v>3</v>
      </c>
      <c r="C14">
        <v>7</v>
      </c>
      <c r="D14">
        <v>10</v>
      </c>
      <c r="F14" s="16" t="s">
        <v>134</v>
      </c>
      <c r="G14">
        <v>8.6840000000000011</v>
      </c>
      <c r="H14" s="15" t="s">
        <v>101</v>
      </c>
      <c r="I14" s="21">
        <v>4</v>
      </c>
      <c r="J14" s="21">
        <v>4</v>
      </c>
      <c r="K14" s="14" t="s">
        <v>336</v>
      </c>
      <c r="L14" t="s">
        <v>22</v>
      </c>
      <c r="M14" t="s">
        <v>337</v>
      </c>
    </row>
    <row r="15" spans="1:13" x14ac:dyDescent="0.35">
      <c r="A15" s="15" t="s">
        <v>134</v>
      </c>
      <c r="B15">
        <v>3</v>
      </c>
      <c r="C15">
        <v>7</v>
      </c>
      <c r="D15">
        <v>10</v>
      </c>
      <c r="F15" s="16" t="s">
        <v>145</v>
      </c>
      <c r="G15">
        <v>11.27</v>
      </c>
      <c r="H15" s="15" t="s">
        <v>112</v>
      </c>
      <c r="I15" s="21">
        <v>2</v>
      </c>
      <c r="J15" s="21">
        <v>2</v>
      </c>
      <c r="K15" s="15" t="s">
        <v>20</v>
      </c>
      <c r="L15">
        <v>42</v>
      </c>
      <c r="M15">
        <v>42</v>
      </c>
    </row>
    <row r="16" spans="1:13" x14ac:dyDescent="0.35">
      <c r="A16" s="15" t="s">
        <v>145</v>
      </c>
      <c r="B16">
        <v>2</v>
      </c>
      <c r="C16">
        <v>8</v>
      </c>
      <c r="D16">
        <v>10</v>
      </c>
      <c r="F16" s="15" t="s">
        <v>156</v>
      </c>
      <c r="G16">
        <v>10.780999999999999</v>
      </c>
      <c r="H16" s="15" t="s">
        <v>123</v>
      </c>
      <c r="I16" s="21">
        <v>3</v>
      </c>
      <c r="J16" s="21">
        <v>3</v>
      </c>
      <c r="K16" s="15" t="s">
        <v>156</v>
      </c>
      <c r="L16">
        <v>41</v>
      </c>
      <c r="M16">
        <v>41</v>
      </c>
    </row>
    <row r="17" spans="1:13" x14ac:dyDescent="0.35">
      <c r="A17" s="15" t="s">
        <v>337</v>
      </c>
      <c r="B17">
        <v>45</v>
      </c>
      <c r="C17">
        <v>105</v>
      </c>
      <c r="D17">
        <v>150</v>
      </c>
      <c r="F17" s="16" t="s">
        <v>19</v>
      </c>
      <c r="G17">
        <v>11.129999999999999</v>
      </c>
      <c r="H17" s="15" t="s">
        <v>134</v>
      </c>
      <c r="I17" s="21">
        <v>3</v>
      </c>
      <c r="J17" s="21">
        <v>3</v>
      </c>
      <c r="K17" s="15" t="s">
        <v>277</v>
      </c>
      <c r="L17">
        <v>22</v>
      </c>
      <c r="M17">
        <v>22</v>
      </c>
    </row>
    <row r="18" spans="1:13" x14ac:dyDescent="0.35">
      <c r="F18" s="16" t="s">
        <v>35</v>
      </c>
      <c r="G18">
        <v>9.6440000000000019</v>
      </c>
      <c r="H18" s="15" t="s">
        <v>145</v>
      </c>
      <c r="I18" s="21">
        <v>2</v>
      </c>
      <c r="J18" s="21">
        <v>2</v>
      </c>
      <c r="K18" s="15" t="s">
        <v>337</v>
      </c>
      <c r="L18">
        <v>105</v>
      </c>
      <c r="M18">
        <v>105</v>
      </c>
    </row>
    <row r="19" spans="1:13" x14ac:dyDescent="0.35">
      <c r="F19" s="16" t="s">
        <v>46</v>
      </c>
      <c r="G19">
        <v>11.903999999999998</v>
      </c>
      <c r="H19" s="15" t="s">
        <v>337</v>
      </c>
      <c r="I19" s="21">
        <v>45</v>
      </c>
      <c r="J19" s="21">
        <v>45</v>
      </c>
    </row>
    <row r="20" spans="1:13" x14ac:dyDescent="0.35">
      <c r="A20" t="s">
        <v>346</v>
      </c>
      <c r="B20" t="s">
        <v>347</v>
      </c>
      <c r="C20" t="s">
        <v>348</v>
      </c>
      <c r="D20" t="s">
        <v>349</v>
      </c>
      <c r="E20" t="s">
        <v>350</v>
      </c>
      <c r="F20" s="16" t="s">
        <v>57</v>
      </c>
      <c r="G20">
        <v>8.0839999999999996</v>
      </c>
    </row>
    <row r="21" spans="1:13" x14ac:dyDescent="0.35">
      <c r="A21" s="21">
        <v>5</v>
      </c>
      <c r="B21" s="21">
        <v>0</v>
      </c>
      <c r="C21" s="21">
        <v>5</v>
      </c>
      <c r="D21" s="21">
        <v>0</v>
      </c>
      <c r="E21" s="21">
        <v>36</v>
      </c>
      <c r="F21" s="16" t="s">
        <v>68</v>
      </c>
      <c r="G21">
        <v>9.7420000000000009</v>
      </c>
    </row>
    <row r="22" spans="1:13" x14ac:dyDescent="0.35">
      <c r="F22" s="16" t="s">
        <v>79</v>
      </c>
      <c r="G22">
        <v>11.618000000000002</v>
      </c>
    </row>
    <row r="23" spans="1:13" x14ac:dyDescent="0.35">
      <c r="F23" s="16" t="s">
        <v>90</v>
      </c>
      <c r="G23">
        <v>9.9439999999999991</v>
      </c>
    </row>
    <row r="24" spans="1:13" x14ac:dyDescent="0.35">
      <c r="F24" s="16" t="s">
        <v>101</v>
      </c>
      <c r="G24">
        <v>10.035999999999998</v>
      </c>
    </row>
    <row r="25" spans="1:13" x14ac:dyDescent="0.35">
      <c r="A25" t="s">
        <v>339</v>
      </c>
      <c r="C25" s="14" t="s">
        <v>338</v>
      </c>
      <c r="F25" s="16" t="s">
        <v>112</v>
      </c>
      <c r="G25">
        <v>10.587999999999999</v>
      </c>
    </row>
    <row r="26" spans="1:13" x14ac:dyDescent="0.35">
      <c r="A26">
        <v>150</v>
      </c>
      <c r="C26" t="s">
        <v>23</v>
      </c>
      <c r="D26" t="s">
        <v>337</v>
      </c>
      <c r="F26" s="16" t="s">
        <v>123</v>
      </c>
      <c r="G26">
        <v>13.462</v>
      </c>
    </row>
    <row r="27" spans="1:13" x14ac:dyDescent="0.35">
      <c r="B27" t="s">
        <v>339</v>
      </c>
      <c r="C27">
        <v>45</v>
      </c>
      <c r="D27">
        <v>45</v>
      </c>
      <c r="F27" s="16" t="s">
        <v>134</v>
      </c>
      <c r="G27">
        <v>12.56</v>
      </c>
    </row>
    <row r="28" spans="1:13" x14ac:dyDescent="0.35">
      <c r="F28" s="16" t="s">
        <v>145</v>
      </c>
      <c r="G28">
        <v>10.66</v>
      </c>
    </row>
    <row r="29" spans="1:13" x14ac:dyDescent="0.35">
      <c r="F29" s="15" t="s">
        <v>277</v>
      </c>
      <c r="G29">
        <v>10.234999999999998</v>
      </c>
    </row>
    <row r="30" spans="1:13" x14ac:dyDescent="0.35">
      <c r="F30" s="16" t="s">
        <v>19</v>
      </c>
      <c r="G30">
        <v>12.106</v>
      </c>
    </row>
    <row r="31" spans="1:13" x14ac:dyDescent="0.35">
      <c r="F31" s="16" t="s">
        <v>35</v>
      </c>
      <c r="G31">
        <v>9.581999999999999</v>
      </c>
    </row>
    <row r="32" spans="1:13" x14ac:dyDescent="0.35">
      <c r="F32" s="16" t="s">
        <v>46</v>
      </c>
      <c r="G32">
        <v>8.4619999999999997</v>
      </c>
    </row>
    <row r="33" spans="2:7" x14ac:dyDescent="0.35">
      <c r="C33" s="14" t="s">
        <v>338</v>
      </c>
      <c r="F33" s="16" t="s">
        <v>57</v>
      </c>
      <c r="G33">
        <v>11.056000000000001</v>
      </c>
    </row>
    <row r="34" spans="2:7" x14ac:dyDescent="0.35">
      <c r="C34" t="s">
        <v>23</v>
      </c>
      <c r="D34" t="s">
        <v>22</v>
      </c>
      <c r="E34" t="s">
        <v>337</v>
      </c>
      <c r="F34" s="16" t="s">
        <v>68</v>
      </c>
      <c r="G34">
        <v>10.370000000000001</v>
      </c>
    </row>
    <row r="35" spans="2:7" x14ac:dyDescent="0.35">
      <c r="B35" t="s">
        <v>352</v>
      </c>
      <c r="C35" s="20">
        <v>0.3</v>
      </c>
      <c r="D35" s="20">
        <v>0.7</v>
      </c>
      <c r="E35" s="20">
        <v>1</v>
      </c>
      <c r="F35" s="16" t="s">
        <v>79</v>
      </c>
      <c r="G35">
        <v>9.8339999999999996</v>
      </c>
    </row>
    <row r="36" spans="2:7" x14ac:dyDescent="0.35">
      <c r="F36" s="15" t="s">
        <v>337</v>
      </c>
      <c r="G36">
        <v>10.480133333333329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18108-B0F8-4FCD-8152-53B7D82F38D0}">
  <dimension ref="A1"/>
  <sheetViews>
    <sheetView topLeftCell="G1" zoomScale="70" zoomScaleNormal="70" workbookViewId="0">
      <selection activeCell="H14" sqref="H14"/>
    </sheetView>
  </sheetViews>
  <sheetFormatPr defaultRowHeight="14.5" x14ac:dyDescent="0.3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9EA1-AFC6-44FC-A375-7C510B58F660}">
  <dimension ref="Q1:AE10"/>
  <sheetViews>
    <sheetView showGridLines="0" showRowColHeaders="0" zoomScale="39" zoomScaleNormal="39" workbookViewId="0">
      <selection activeCell="AC14" sqref="AC14"/>
    </sheetView>
  </sheetViews>
  <sheetFormatPr defaultRowHeight="14.5" x14ac:dyDescent="0.35"/>
  <cols>
    <col min="13" max="13" width="8.7265625" customWidth="1"/>
    <col min="18" max="18" width="8.7265625" customWidth="1"/>
    <col min="29" max="29" width="44" customWidth="1"/>
    <col min="30" max="30" width="20.36328125" customWidth="1"/>
    <col min="31" max="31" width="8.7265625" customWidth="1"/>
  </cols>
  <sheetData>
    <row r="1" spans="17:31" x14ac:dyDescent="0.35">
      <c r="AD1" s="20">
        <f>'PIVOT TABLE'!D35</f>
        <v>0.7</v>
      </c>
    </row>
    <row r="3" spans="17:31" x14ac:dyDescent="0.35">
      <c r="AE3" s="20">
        <f>'PIVOT TABLE'!C35</f>
        <v>0.3</v>
      </c>
    </row>
    <row r="10" spans="17:31" x14ac:dyDescent="0.35">
      <c r="Q10" s="1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PIVOT TABLE</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Halimat Giwa</cp:lastModifiedBy>
  <dcterms:created xsi:type="dcterms:W3CDTF">2026-06-17T18:57:17Z</dcterms:created>
  <dcterms:modified xsi:type="dcterms:W3CDTF">2026-06-20T00:21:58Z</dcterms:modified>
</cp:coreProperties>
</file>